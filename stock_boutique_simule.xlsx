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ia\Downloads\"/>
    </mc:Choice>
  </mc:AlternateContent>
  <xr:revisionPtr revIDLastSave="0" documentId="13_ncr:1_{468EA8F4-933E-42D4-ADF5-F97E2FA4D888}" xr6:coauthVersionLast="47" xr6:coauthVersionMax="47" xr10:uidLastSave="{00000000-0000-0000-0000-000000000000}"/>
  <bookViews>
    <workbookView xWindow="-120" yWindow="-120" windowWidth="20730" windowHeight="11310" activeTab="3" xr2:uid="{00000000-000D-0000-FFFF-FFFF00000000}"/>
  </bookViews>
  <sheets>
    <sheet name="Liste des marchandises" sheetId="1" r:id="rId1"/>
    <sheet name="Entrees" sheetId="3" r:id="rId2"/>
    <sheet name="Sorties" sheetId="4" r:id="rId3"/>
    <sheet name="Inventaire" sheetId="5" r:id="rId4"/>
  </sheets>
  <calcPr calcId="191029"/>
</workbook>
</file>

<file path=xl/calcChain.xml><?xml version="1.0" encoding="utf-8"?>
<calcChain xmlns="http://schemas.openxmlformats.org/spreadsheetml/2006/main">
  <c r="D2" i="5" l="1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3" i="5"/>
  <c r="J4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2" i="5"/>
  <c r="E2" i="5" l="1"/>
  <c r="E3" i="5"/>
  <c r="E4" i="5"/>
  <c r="E5" i="5"/>
  <c r="E6" i="5"/>
  <c r="E7" i="5"/>
  <c r="E8" i="5"/>
  <c r="E9" i="5"/>
  <c r="E10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11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17" i="5"/>
  <c r="C18" i="5"/>
  <c r="C19" i="5"/>
  <c r="C20" i="5"/>
  <c r="C21" i="5"/>
  <c r="C22" i="5"/>
  <c r="C23" i="5"/>
  <c r="C24" i="5"/>
  <c r="C25" i="5"/>
  <c r="C26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C2" i="5"/>
  <c r="B2" i="5"/>
  <c r="J2" i="5"/>
</calcChain>
</file>

<file path=xl/sharedStrings.xml><?xml version="1.0" encoding="utf-8"?>
<sst xmlns="http://schemas.openxmlformats.org/spreadsheetml/2006/main" count="11034" uniqueCount="1461">
  <si>
    <t>Reference</t>
  </si>
  <si>
    <t>Designation</t>
  </si>
  <si>
    <t>Categorie</t>
  </si>
  <si>
    <t>Seuil d'alerte</t>
  </si>
  <si>
    <t>Unite</t>
  </si>
  <si>
    <t>Stock initial</t>
  </si>
  <si>
    <t>Prix Unitaire</t>
  </si>
  <si>
    <t>Total</t>
  </si>
  <si>
    <t>SMP-0001</t>
  </si>
  <si>
    <t>Smartphone Edge 001</t>
  </si>
  <si>
    <t>Smartphone</t>
  </si>
  <si>
    <t>Piece</t>
  </si>
  <si>
    <t>ELM-0001</t>
  </si>
  <si>
    <t>Lave-linge 001</t>
  </si>
  <si>
    <t>Electromenager</t>
  </si>
  <si>
    <t>SMP-0002</t>
  </si>
  <si>
    <t>Smartphone Edge 002</t>
  </si>
  <si>
    <t>MUS-0001</t>
  </si>
  <si>
    <t>Saxophone alto 001</t>
  </si>
  <si>
    <t>Instrument de musique</t>
  </si>
  <si>
    <t>SMP-0003</t>
  </si>
  <si>
    <t>Smartphone Nova 003</t>
  </si>
  <si>
    <t>MUS-0002</t>
  </si>
  <si>
    <t>Batterie electronique 002</t>
  </si>
  <si>
    <t>GEN-0001</t>
  </si>
  <si>
    <t>Groupe silencieux 6kVA 001</t>
  </si>
  <si>
    <t>Groupe electrogene</t>
  </si>
  <si>
    <t>ELM-0002</t>
  </si>
  <si>
    <t>Fer a repasser 002</t>
  </si>
  <si>
    <t>GEN-0002</t>
  </si>
  <si>
    <t>Groupe 12kVA 002</t>
  </si>
  <si>
    <t>GEN-0003</t>
  </si>
  <si>
    <t>Groupe 5kVA 003</t>
  </si>
  <si>
    <t>SMP-0004</t>
  </si>
  <si>
    <t>Smartphone Alpha 004</t>
  </si>
  <si>
    <t>ELM-0003</t>
  </si>
  <si>
    <t>Refrigerateur 003</t>
  </si>
  <si>
    <t>ELM-0004</t>
  </si>
  <si>
    <t>Climatiseur 004</t>
  </si>
  <si>
    <t>MUS-0003</t>
  </si>
  <si>
    <t>Saxophone alto 003</t>
  </si>
  <si>
    <t>GEN-0004</t>
  </si>
  <si>
    <t>Groupe 2kVA 004</t>
  </si>
  <si>
    <t>SMP-0005</t>
  </si>
  <si>
    <t>Smartphone Edge 005</t>
  </si>
  <si>
    <t>MUS-0004</t>
  </si>
  <si>
    <t>Batterie electronique 004</t>
  </si>
  <si>
    <t>ELM-0005</t>
  </si>
  <si>
    <t>Refrigerateur 005</t>
  </si>
  <si>
    <t>ELM-0006</t>
  </si>
  <si>
    <t>Fer a repasser 006</t>
  </si>
  <si>
    <t>ELM-0007</t>
  </si>
  <si>
    <t>Refrigerateur 007</t>
  </si>
  <si>
    <t>MUS-0005</t>
  </si>
  <si>
    <t>Piano numerique 005</t>
  </si>
  <si>
    <t>ELM-0008</t>
  </si>
  <si>
    <t>Congelateur 008</t>
  </si>
  <si>
    <t>MUS-0006</t>
  </si>
  <si>
    <t>Clavier arrangeur 006</t>
  </si>
  <si>
    <t>GEN-0005</t>
  </si>
  <si>
    <t>Groupe silencieux 6kVA 005</t>
  </si>
  <si>
    <t>SMP-0006</t>
  </si>
  <si>
    <t>Smartphone Lite 006</t>
  </si>
  <si>
    <t>MUS-0007</t>
  </si>
  <si>
    <t>Violon etude 007</t>
  </si>
  <si>
    <t>ELM-0009</t>
  </si>
  <si>
    <t>Lave-linge 009</t>
  </si>
  <si>
    <t>MUS-0008</t>
  </si>
  <si>
    <t>Piano numerique 008</t>
  </si>
  <si>
    <t>GEN-0006</t>
  </si>
  <si>
    <t>Groupe 12kVA 006</t>
  </si>
  <si>
    <t>SMP-0007</t>
  </si>
  <si>
    <t>Smartphone Alpha 007</t>
  </si>
  <si>
    <t>SMP-0008</t>
  </si>
  <si>
    <t>Smartphone Nova 008</t>
  </si>
  <si>
    <t>SMP-0009</t>
  </si>
  <si>
    <t>Smartphone Alpha 009</t>
  </si>
  <si>
    <t>SMP-0010</t>
  </si>
  <si>
    <t>Smartphone Ultra 010</t>
  </si>
  <si>
    <t>ELM-0010</t>
  </si>
  <si>
    <t>Mixeur 010</t>
  </si>
  <si>
    <t>ELM-0011</t>
  </si>
  <si>
    <t>Refrigerateur 011</t>
  </si>
  <si>
    <t>MUS-0009</t>
  </si>
  <si>
    <t>Clavier arrangeur 009</t>
  </si>
  <si>
    <t>GEN-0007</t>
  </si>
  <si>
    <t>Groupe 8kVA 007</t>
  </si>
  <si>
    <t>GEN-0008</t>
  </si>
  <si>
    <t>Groupe 12kVA 008</t>
  </si>
  <si>
    <t>GEN-0009</t>
  </si>
  <si>
    <t>Groupe 5kVA 009</t>
  </si>
  <si>
    <t>SMP-0011</t>
  </si>
  <si>
    <t>Smartphone Ultra 011</t>
  </si>
  <si>
    <t>ELM-0012</t>
  </si>
  <si>
    <t>Climatiseur 012</t>
  </si>
  <si>
    <t>ELM-0013</t>
  </si>
  <si>
    <t>Congelateur 013</t>
  </si>
  <si>
    <t>ELM-0014</t>
  </si>
  <si>
    <t>Lave-linge 014</t>
  </si>
  <si>
    <t>ELM-0015</t>
  </si>
  <si>
    <t>Climatiseur 015</t>
  </si>
  <si>
    <t>SMP-0012</t>
  </si>
  <si>
    <t>Smartphone Lite 012</t>
  </si>
  <si>
    <t>ELM-0016</t>
  </si>
  <si>
    <t>Fer a repasser 016</t>
  </si>
  <si>
    <t>MUS-0010</t>
  </si>
  <si>
    <t>Piano numerique 010</t>
  </si>
  <si>
    <t>GEN-0010</t>
  </si>
  <si>
    <t>Groupe silencieux 6kVA 010</t>
  </si>
  <si>
    <t>SMP-0013</t>
  </si>
  <si>
    <t>Smartphone Lite 013</t>
  </si>
  <si>
    <t>MUS-0011</t>
  </si>
  <si>
    <t>Guitare acoustique 011</t>
  </si>
  <si>
    <t>MUS-0012</t>
  </si>
  <si>
    <t>Saxophone alto 012</t>
  </si>
  <si>
    <t>ELM-0017</t>
  </si>
  <si>
    <t>Aspirateur 017</t>
  </si>
  <si>
    <t>SMP-0014</t>
  </si>
  <si>
    <t>Smartphone Alpha 014</t>
  </si>
  <si>
    <t>SMP-0015</t>
  </si>
  <si>
    <t>Smartphone Ultra 015</t>
  </si>
  <si>
    <t>GEN-0011</t>
  </si>
  <si>
    <t>Groupe silencieux 6kVA 011</t>
  </si>
  <si>
    <t>MUS-0013</t>
  </si>
  <si>
    <t>Clavier arrangeur 013</t>
  </si>
  <si>
    <t>ELM-0018</t>
  </si>
  <si>
    <t>Lave-linge 018</t>
  </si>
  <si>
    <t>ELM-0019</t>
  </si>
  <si>
    <t>Fer a repasser 019</t>
  </si>
  <si>
    <t>GEN-0012</t>
  </si>
  <si>
    <t>Groupe 5kVA 012</t>
  </si>
  <si>
    <t>GEN-0013</t>
  </si>
  <si>
    <t>Groupe 12kVA 013</t>
  </si>
  <si>
    <t>ELM-0020</t>
  </si>
  <si>
    <t>Climatiseur 020</t>
  </si>
  <si>
    <t>ELM-0021</t>
  </si>
  <si>
    <t>Climatiseur 021</t>
  </si>
  <si>
    <t>SMP-0016</t>
  </si>
  <si>
    <t>Smartphone Ultra 016</t>
  </si>
  <si>
    <t>GEN-0014</t>
  </si>
  <si>
    <t>Groupe 12kVA 014</t>
  </si>
  <si>
    <t>ELM-0022</t>
  </si>
  <si>
    <t>Micro-ondes 022</t>
  </si>
  <si>
    <t>SMP-0017</t>
  </si>
  <si>
    <t>Smartphone Nova 017</t>
  </si>
  <si>
    <t>MUS-0014</t>
  </si>
  <si>
    <t>Violon etude 014</t>
  </si>
  <si>
    <t>MUS-0015</t>
  </si>
  <si>
    <t>Clavier arrangeur 015</t>
  </si>
  <si>
    <t>SMP-0018</t>
  </si>
  <si>
    <t>Smartphone Alpha 018</t>
  </si>
  <si>
    <t>SMP-0019</t>
  </si>
  <si>
    <t>Smartphone Nova 019</t>
  </si>
  <si>
    <t>ELM-0023</t>
  </si>
  <si>
    <t>Climatiseur 023</t>
  </si>
  <si>
    <t>SMP-0020</t>
  </si>
  <si>
    <t>Smartphone Prime 020</t>
  </si>
  <si>
    <t>MUS-0016</t>
  </si>
  <si>
    <t>Batterie electronique 016</t>
  </si>
  <si>
    <t>MUS-0017</t>
  </si>
  <si>
    <t>Batterie electronique 017</t>
  </si>
  <si>
    <t>GEN-0015</t>
  </si>
  <si>
    <t>Groupe 12kVA 015</t>
  </si>
  <si>
    <t>GEN-0016</t>
  </si>
  <si>
    <t>Groupe silencieux 6kVA 016</t>
  </si>
  <si>
    <t>GEN-0017</t>
  </si>
  <si>
    <t>Groupe 5kVA 017</t>
  </si>
  <si>
    <t>MUS-0018</t>
  </si>
  <si>
    <t>Saxophone alto 018</t>
  </si>
  <si>
    <t>GEN-0018</t>
  </si>
  <si>
    <t>Groupe 5kVA 018</t>
  </si>
  <si>
    <t>ELM-0024</t>
  </si>
  <si>
    <t>Fer a repasser 024</t>
  </si>
  <si>
    <t>MUS-0019</t>
  </si>
  <si>
    <t>Saxophone alto 019</t>
  </si>
  <si>
    <t>ELM-0025</t>
  </si>
  <si>
    <t>Mixeur 025</t>
  </si>
  <si>
    <t>ELM-0026</t>
  </si>
  <si>
    <t>Climatiseur 026</t>
  </si>
  <si>
    <t>MUS-0020</t>
  </si>
  <si>
    <t>Clavier arrangeur 020</t>
  </si>
  <si>
    <t>ELM-0027</t>
  </si>
  <si>
    <t>Climatiseur 027</t>
  </si>
  <si>
    <t>MUS-0021</t>
  </si>
  <si>
    <t>Clavier arrangeur 021</t>
  </si>
  <si>
    <t>GEN-0019</t>
  </si>
  <si>
    <t>Groupe 2kVA 019</t>
  </si>
  <si>
    <t>MUS-0022</t>
  </si>
  <si>
    <t>Batterie electronique 022</t>
  </si>
  <si>
    <t>SMP-0021</t>
  </si>
  <si>
    <t>Smartphone Prime 021</t>
  </si>
  <si>
    <t>GEN-0020</t>
  </si>
  <si>
    <t>Groupe 2kVA 020</t>
  </si>
  <si>
    <t>ELM-0028</t>
  </si>
  <si>
    <t>Refrigerateur 028</t>
  </si>
  <si>
    <t>ELM-0029</t>
  </si>
  <si>
    <t>Mixeur 029</t>
  </si>
  <si>
    <t>SMP-0022</t>
  </si>
  <si>
    <t>Smartphone Lite 022</t>
  </si>
  <si>
    <t>GEN-0021</t>
  </si>
  <si>
    <t>Groupe silencieux 6kVA 021</t>
  </si>
  <si>
    <t>ELM-0030</t>
  </si>
  <si>
    <t>Refrigerateur 030</t>
  </si>
  <si>
    <t>SMP-0023</t>
  </si>
  <si>
    <t>Smartphone Ultra 023</t>
  </si>
  <si>
    <t>GEN-0022</t>
  </si>
  <si>
    <t>Groupe 2kVA 022</t>
  </si>
  <si>
    <t>ELM-0031</t>
  </si>
  <si>
    <t>Aspirateur 031</t>
  </si>
  <si>
    <t>SMP-0024</t>
  </si>
  <si>
    <t>Smartphone Nova 024</t>
  </si>
  <si>
    <t>SMP-0025</t>
  </si>
  <si>
    <t>Smartphone Alpha 025</t>
  </si>
  <si>
    <t>ELM-0032</t>
  </si>
  <si>
    <t>Mixeur 032</t>
  </si>
  <si>
    <t>MUS-0023</t>
  </si>
  <si>
    <t>Batterie electronique 023</t>
  </si>
  <si>
    <t>GEN-0023</t>
  </si>
  <si>
    <t>Groupe 2kVA 023</t>
  </si>
  <si>
    <t>MUS-0024</t>
  </si>
  <si>
    <t>Clavier arrangeur 024</t>
  </si>
  <si>
    <t>GEN-0024</t>
  </si>
  <si>
    <t>Groupe 2kVA 024</t>
  </si>
  <si>
    <t>GEN-0025</t>
  </si>
  <si>
    <t>Groupe 5kVA 025</t>
  </si>
  <si>
    <t>GEN-0026</t>
  </si>
  <si>
    <t>Groupe 12kVA 026</t>
  </si>
  <si>
    <t>ELM-0033</t>
  </si>
  <si>
    <t>Lave-linge 033</t>
  </si>
  <si>
    <t>ELM-0034</t>
  </si>
  <si>
    <t>Climatiseur 034</t>
  </si>
  <si>
    <t>SMP-0026</t>
  </si>
  <si>
    <t>Smartphone Nova 026</t>
  </si>
  <si>
    <t>GEN-0027</t>
  </si>
  <si>
    <t>Groupe silencieux 6kVA 027</t>
  </si>
  <si>
    <t>SMP-0027</t>
  </si>
  <si>
    <t>Smartphone Prime 027</t>
  </si>
  <si>
    <t>SMP-0028</t>
  </si>
  <si>
    <t>Smartphone Prime 028</t>
  </si>
  <si>
    <t>SMP-0029</t>
  </si>
  <si>
    <t>Smartphone Lite 029</t>
  </si>
  <si>
    <t>ELM-0035</t>
  </si>
  <si>
    <t>Mixeur 035</t>
  </si>
  <si>
    <t>ELM-0036</t>
  </si>
  <si>
    <t>Refrigerateur 036</t>
  </si>
  <si>
    <t>SMP-0030</t>
  </si>
  <si>
    <t>Smartphone Ultra 030</t>
  </si>
  <si>
    <t>ELM-0037</t>
  </si>
  <si>
    <t>Fer a repasser 037</t>
  </si>
  <si>
    <t>ELM-0038</t>
  </si>
  <si>
    <t>Lave-linge 038</t>
  </si>
  <si>
    <t>ELM-0039</t>
  </si>
  <si>
    <t>Climatiseur 039</t>
  </si>
  <si>
    <t>MUS-0025</t>
  </si>
  <si>
    <t>Guitare acoustique 025</t>
  </si>
  <si>
    <t>MUS-0026</t>
  </si>
  <si>
    <t>Piano numerique 026</t>
  </si>
  <si>
    <t>SMP-0031</t>
  </si>
  <si>
    <t>Smartphone Alpha 031</t>
  </si>
  <si>
    <t>SMP-0032</t>
  </si>
  <si>
    <t>Smartphone Lite 032</t>
  </si>
  <si>
    <t>SMP-0033</t>
  </si>
  <si>
    <t>Smartphone Prime 033</t>
  </si>
  <si>
    <t>ELM-0040</t>
  </si>
  <si>
    <t>Micro-ondes 040</t>
  </si>
  <si>
    <t>ELM-0041</t>
  </si>
  <si>
    <t>Climatiseur 041</t>
  </si>
  <si>
    <t>ELM-0042</t>
  </si>
  <si>
    <t>Mixeur 042</t>
  </si>
  <si>
    <t>GEN-0028</t>
  </si>
  <si>
    <t>Groupe 12kVA 028</t>
  </si>
  <si>
    <t>MUS-0027</t>
  </si>
  <si>
    <t>Saxophone alto 027</t>
  </si>
  <si>
    <t>SMP-0034</t>
  </si>
  <si>
    <t>Smartphone Edge 034</t>
  </si>
  <si>
    <t>SMP-0035</t>
  </si>
  <si>
    <t>Smartphone Lite 035</t>
  </si>
  <si>
    <t>SMP-0036</t>
  </si>
  <si>
    <t>Smartphone Alpha 036</t>
  </si>
  <si>
    <t>MUS-0028</t>
  </si>
  <si>
    <t>Violon etude 028</t>
  </si>
  <si>
    <t>MUS-0029</t>
  </si>
  <si>
    <t>Piano numerique 029</t>
  </si>
  <si>
    <t>SMP-0037</t>
  </si>
  <si>
    <t>Smartphone Prime 037</t>
  </si>
  <si>
    <t>MUS-0030</t>
  </si>
  <si>
    <t>Guitare acoustique 030</t>
  </si>
  <si>
    <t>SMP-0038</t>
  </si>
  <si>
    <t>Smartphone Lite 038</t>
  </si>
  <si>
    <t>MUS-0031</t>
  </si>
  <si>
    <t>Batterie electronique 031</t>
  </si>
  <si>
    <t>GEN-0029</t>
  </si>
  <si>
    <t>Groupe 2kVA 029</t>
  </si>
  <si>
    <t>MUS-0032</t>
  </si>
  <si>
    <t>Piano numerique 032</t>
  </si>
  <si>
    <t>MUS-0033</t>
  </si>
  <si>
    <t>Piano numerique 033</t>
  </si>
  <si>
    <t>SMP-0039</t>
  </si>
  <si>
    <t>Smartphone Alpha 039</t>
  </si>
  <si>
    <t>MUS-0034</t>
  </si>
  <si>
    <t>Violon etude 034</t>
  </si>
  <si>
    <t>MUS-0035</t>
  </si>
  <si>
    <t>Clavier arrangeur 035</t>
  </si>
  <si>
    <t>MUS-0036</t>
  </si>
  <si>
    <t>Clavier arrangeur 036</t>
  </si>
  <si>
    <t>SMP-0040</t>
  </si>
  <si>
    <t>Smartphone Prime 040</t>
  </si>
  <si>
    <t>ELM-0043</t>
  </si>
  <si>
    <t>Mixeur 043</t>
  </si>
  <si>
    <t>GEN-0030</t>
  </si>
  <si>
    <t>Groupe 12kVA 030</t>
  </si>
  <si>
    <t>GEN-0031</t>
  </si>
  <si>
    <t>Groupe 2kVA 031</t>
  </si>
  <si>
    <t>GEN-0032</t>
  </si>
  <si>
    <t>Groupe 5kVA 032</t>
  </si>
  <si>
    <t>GEN-0033</t>
  </si>
  <si>
    <t>Groupe 8kVA 033</t>
  </si>
  <si>
    <t>GEN-0034</t>
  </si>
  <si>
    <t>Groupe silencieux 6kVA 034</t>
  </si>
  <si>
    <t>ELM-0044</t>
  </si>
  <si>
    <t>Mixeur 044</t>
  </si>
  <si>
    <t>MUS-0037</t>
  </si>
  <si>
    <t>Batterie electronique 037</t>
  </si>
  <si>
    <t>GEN-0035</t>
  </si>
  <si>
    <t>Groupe 2kVA 035</t>
  </si>
  <si>
    <t>MUS-0038</t>
  </si>
  <si>
    <t>Clavier arrangeur 038</t>
  </si>
  <si>
    <t>GEN-0036</t>
  </si>
  <si>
    <t>Groupe silencieux 6kVA 036</t>
  </si>
  <si>
    <t>GEN-0037</t>
  </si>
  <si>
    <t>Groupe silencieux 6kVA 037</t>
  </si>
  <si>
    <t>GEN-0038</t>
  </si>
  <si>
    <t>Groupe 12kVA 038</t>
  </si>
  <si>
    <t>GEN-0039</t>
  </si>
  <si>
    <t>Groupe 8kVA 039</t>
  </si>
  <si>
    <t>SMP-0041</t>
  </si>
  <si>
    <t>Smartphone Alpha 041</t>
  </si>
  <si>
    <t>ELM-0045</t>
  </si>
  <si>
    <t>Fer a repasser 045</t>
  </si>
  <si>
    <t>ELM-0046</t>
  </si>
  <si>
    <t>Fer a repasser 046</t>
  </si>
  <si>
    <t>SMP-0042</t>
  </si>
  <si>
    <t>Smartphone Lite 042</t>
  </si>
  <si>
    <t>MUS-0039</t>
  </si>
  <si>
    <t>Piano numerique 039</t>
  </si>
  <si>
    <t>ELM-0047</t>
  </si>
  <si>
    <t>Mixeur 047</t>
  </si>
  <si>
    <t>GEN-0040</t>
  </si>
  <si>
    <t>Groupe 2kVA 040</t>
  </si>
  <si>
    <t>MUS-0040</t>
  </si>
  <si>
    <t>Saxophone alto 040</t>
  </si>
  <si>
    <t>ELM-0048</t>
  </si>
  <si>
    <t>Lave-linge 048</t>
  </si>
  <si>
    <t>ELM-0049</t>
  </si>
  <si>
    <t>Micro-ondes 049</t>
  </si>
  <si>
    <t>ELM-0050</t>
  </si>
  <si>
    <t>Congelateur 050</t>
  </si>
  <si>
    <t>MUS-0041</t>
  </si>
  <si>
    <t>Piano numerique 041</t>
  </si>
  <si>
    <t>SMP-0043</t>
  </si>
  <si>
    <t>Smartphone Nova 043</t>
  </si>
  <si>
    <t>ELM-0051</t>
  </si>
  <si>
    <t>Aspirateur 051</t>
  </si>
  <si>
    <t>ELM-0052</t>
  </si>
  <si>
    <t>Lave-linge 052</t>
  </si>
  <si>
    <t>SMP-0044</t>
  </si>
  <si>
    <t>Smartphone Prime 044</t>
  </si>
  <si>
    <t>GEN-0041</t>
  </si>
  <si>
    <t>Groupe 8kVA 041</t>
  </si>
  <si>
    <t>GEN-0042</t>
  </si>
  <si>
    <t>Groupe silencieux 6kVA 042</t>
  </si>
  <si>
    <t>GEN-0043</t>
  </si>
  <si>
    <t>Groupe 8kVA 043</t>
  </si>
  <si>
    <t>SMP-0045</t>
  </si>
  <si>
    <t>Smartphone Nova 045</t>
  </si>
  <si>
    <t>SMP-0046</t>
  </si>
  <si>
    <t>Smartphone Edge 046</t>
  </si>
  <si>
    <t>GEN-0044</t>
  </si>
  <si>
    <t>Groupe 12kVA 044</t>
  </si>
  <si>
    <t>SMP-0047</t>
  </si>
  <si>
    <t>Smartphone Lite 047</t>
  </si>
  <si>
    <t>MUS-0042</t>
  </si>
  <si>
    <t>Piano numerique 042</t>
  </si>
  <si>
    <t>SMP-0048</t>
  </si>
  <si>
    <t>Smartphone Alpha 048</t>
  </si>
  <si>
    <t>SMP-0049</t>
  </si>
  <si>
    <t>Smartphone Ultra 049</t>
  </si>
  <si>
    <t>MUS-0043</t>
  </si>
  <si>
    <t>Saxophone alto 043</t>
  </si>
  <si>
    <t>SMP-0050</t>
  </si>
  <si>
    <t>Smartphone Lite 050</t>
  </si>
  <si>
    <t>SMP-0051</t>
  </si>
  <si>
    <t>Smartphone Lite 051</t>
  </si>
  <si>
    <t>GEN-0045</t>
  </si>
  <si>
    <t>Groupe silencieux 6kVA 045</t>
  </si>
  <si>
    <t>ELM-0053</t>
  </si>
  <si>
    <t>Fer a repasser 053</t>
  </si>
  <si>
    <t>GEN-0046</t>
  </si>
  <si>
    <t>Groupe 5kVA 046</t>
  </si>
  <si>
    <t>MUS-0044</t>
  </si>
  <si>
    <t>Guitare acoustique 044</t>
  </si>
  <si>
    <t>MUS-0045</t>
  </si>
  <si>
    <t>Piano numerique 045</t>
  </si>
  <si>
    <t>MUS-0046</t>
  </si>
  <si>
    <t>Saxophone alto 046</t>
  </si>
  <si>
    <t>MUS-0047</t>
  </si>
  <si>
    <t>Saxophone alto 047</t>
  </si>
  <si>
    <t>MUS-0048</t>
  </si>
  <si>
    <t>Saxophone alto 048</t>
  </si>
  <si>
    <t>SMP-0052</t>
  </si>
  <si>
    <t>Smartphone Ultra 052</t>
  </si>
  <si>
    <t>ELM-0054</t>
  </si>
  <si>
    <t>Micro-ondes 054</t>
  </si>
  <si>
    <t>ELM-0055</t>
  </si>
  <si>
    <t>Lave-linge 055</t>
  </si>
  <si>
    <t>MUS-0049</t>
  </si>
  <si>
    <t>Saxophone alto 049</t>
  </si>
  <si>
    <t>SMP-0053</t>
  </si>
  <si>
    <t>Smartphone Edge 053</t>
  </si>
  <si>
    <t>SMP-0054</t>
  </si>
  <si>
    <t>Smartphone Prime 054</t>
  </si>
  <si>
    <t>ELM-0056</t>
  </si>
  <si>
    <t>Lave-linge 056</t>
  </si>
  <si>
    <t>GEN-0047</t>
  </si>
  <si>
    <t>Groupe 12kVA 047</t>
  </si>
  <si>
    <t>ELM-0057</t>
  </si>
  <si>
    <t>Lave-linge 057</t>
  </si>
  <si>
    <t>SMP-0055</t>
  </si>
  <si>
    <t>Smartphone Nova 055</t>
  </si>
  <si>
    <t>MUS-0050</t>
  </si>
  <si>
    <t>Violon etude 050</t>
  </si>
  <si>
    <t>GEN-0048</t>
  </si>
  <si>
    <t>Groupe 8kVA 048</t>
  </si>
  <si>
    <t>SMP-0056</t>
  </si>
  <si>
    <t>Smartphone Prime 056</t>
  </si>
  <si>
    <t>SMP-0057</t>
  </si>
  <si>
    <t>Smartphone Lite 057</t>
  </si>
  <si>
    <t>ELM-0058</t>
  </si>
  <si>
    <t>Lave-linge 058</t>
  </si>
  <si>
    <t>ELM-0059</t>
  </si>
  <si>
    <t>Climatiseur 059</t>
  </si>
  <si>
    <t>GEN-0049</t>
  </si>
  <si>
    <t>Groupe 8kVA 049</t>
  </si>
  <si>
    <t>SMP-0058</t>
  </si>
  <si>
    <t>Smartphone Edge 058</t>
  </si>
  <si>
    <t>SMP-0059</t>
  </si>
  <si>
    <t>Smartphone Ultra 059</t>
  </si>
  <si>
    <t>MUS-0051</t>
  </si>
  <si>
    <t>Clavier arrangeur 051</t>
  </si>
  <si>
    <t>GEN-0050</t>
  </si>
  <si>
    <t>Groupe 12kVA 050</t>
  </si>
  <si>
    <t>MUS-0052</t>
  </si>
  <si>
    <t>Piano numerique 052</t>
  </si>
  <si>
    <t>MUS-0053</t>
  </si>
  <si>
    <t>Piano numerique 053</t>
  </si>
  <si>
    <t>ELM-0060</t>
  </si>
  <si>
    <t>Fer a repasser 060</t>
  </si>
  <si>
    <t>GEN-0051</t>
  </si>
  <si>
    <t>Groupe 12kVA 051</t>
  </si>
  <si>
    <t>GEN-0052</t>
  </si>
  <si>
    <t>Groupe 5kVA 052</t>
  </si>
  <si>
    <t>ELM-0061</t>
  </si>
  <si>
    <t>Lave-linge 061</t>
  </si>
  <si>
    <t>MUS-0054</t>
  </si>
  <si>
    <t>Saxophone alto 054</t>
  </si>
  <si>
    <t>GEN-0053</t>
  </si>
  <si>
    <t>Groupe 8kVA 053</t>
  </si>
  <si>
    <t>MUS-0055</t>
  </si>
  <si>
    <t>Saxophone alto 055</t>
  </si>
  <si>
    <t>ELM-0062</t>
  </si>
  <si>
    <t>Mixeur 062</t>
  </si>
  <si>
    <t>MUS-0056</t>
  </si>
  <si>
    <t>Guitare acoustique 056</t>
  </si>
  <si>
    <t>MUS-0057</t>
  </si>
  <si>
    <t>Violon etude 057</t>
  </si>
  <si>
    <t>SMP-0060</t>
  </si>
  <si>
    <t>Smartphone Prime 060</t>
  </si>
  <si>
    <t>ELM-0063</t>
  </si>
  <si>
    <t>Aspirateur 063</t>
  </si>
  <si>
    <t>GEN-0054</t>
  </si>
  <si>
    <t>Groupe 5kVA 054</t>
  </si>
  <si>
    <t>ELM-0064</t>
  </si>
  <si>
    <t>Lave-linge 064</t>
  </si>
  <si>
    <t>ELM-0065</t>
  </si>
  <si>
    <t>Aspirateur 065</t>
  </si>
  <si>
    <t>MUS-0058</t>
  </si>
  <si>
    <t>Saxophone alto 058</t>
  </si>
  <si>
    <t>ELM-0066</t>
  </si>
  <si>
    <t>Micro-ondes 066</t>
  </si>
  <si>
    <t>SMP-0061</t>
  </si>
  <si>
    <t>Smartphone Alpha 061</t>
  </si>
  <si>
    <t>GEN-0055</t>
  </si>
  <si>
    <t>Groupe 5kVA 055</t>
  </si>
  <si>
    <t>MUS-0059</t>
  </si>
  <si>
    <t>Clavier arrangeur 059</t>
  </si>
  <si>
    <t>SMP-0062</t>
  </si>
  <si>
    <t>Smartphone Alpha 062</t>
  </si>
  <si>
    <t>GEN-0056</t>
  </si>
  <si>
    <t>Groupe silencieux 6kVA 056</t>
  </si>
  <si>
    <t>SMP-0063</t>
  </si>
  <si>
    <t>Smartphone Alpha 063</t>
  </si>
  <si>
    <t>MUS-0060</t>
  </si>
  <si>
    <t>Batterie electronique 060</t>
  </si>
  <si>
    <t>GEN-0057</t>
  </si>
  <si>
    <t>Groupe 8kVA 057</t>
  </si>
  <si>
    <t>ELM-0067</t>
  </si>
  <si>
    <t>Climatiseur 067</t>
  </si>
  <si>
    <t>ELM-0068</t>
  </si>
  <si>
    <t>Climatiseur 068</t>
  </si>
  <si>
    <t>GEN-0058</t>
  </si>
  <si>
    <t>Groupe 2kVA 058</t>
  </si>
  <si>
    <t>SMP-0064</t>
  </si>
  <si>
    <t>Smartphone Edge 064</t>
  </si>
  <si>
    <t>GEN-0059</t>
  </si>
  <si>
    <t>Groupe 2kVA 059</t>
  </si>
  <si>
    <t>MUS-0061</t>
  </si>
  <si>
    <t>Violon etude 061</t>
  </si>
  <si>
    <t>GEN-0060</t>
  </si>
  <si>
    <t>Groupe 12kVA 060</t>
  </si>
  <si>
    <t>SMP-0065</t>
  </si>
  <si>
    <t>Smartphone Ultra 065</t>
  </si>
  <si>
    <t>SMP-0066</t>
  </si>
  <si>
    <t>Smartphone Prime 066</t>
  </si>
  <si>
    <t>ELM-0069</t>
  </si>
  <si>
    <t>Lave-linge 069</t>
  </si>
  <si>
    <t>SMP-0067</t>
  </si>
  <si>
    <t>Smartphone Ultra 067</t>
  </si>
  <si>
    <t>ELM-0070</t>
  </si>
  <si>
    <t>Micro-ondes 070</t>
  </si>
  <si>
    <t>ELM-0071</t>
  </si>
  <si>
    <t>Lave-linge 071</t>
  </si>
  <si>
    <t>ELM-0072</t>
  </si>
  <si>
    <t>Micro-ondes 072</t>
  </si>
  <si>
    <t>GEN-0061</t>
  </si>
  <si>
    <t>Groupe 12kVA 061</t>
  </si>
  <si>
    <t>GEN-0062</t>
  </si>
  <si>
    <t>Groupe 5kVA 062</t>
  </si>
  <si>
    <t>ELM-0073</t>
  </si>
  <si>
    <t>Congelateur 073</t>
  </si>
  <si>
    <t>SMP-0068</t>
  </si>
  <si>
    <t>Smartphone Alpha 068</t>
  </si>
  <si>
    <t>SMP-0069</t>
  </si>
  <si>
    <t>Smartphone Lite 069</t>
  </si>
  <si>
    <t>SMP-0070</t>
  </si>
  <si>
    <t>Smartphone Prime 070</t>
  </si>
  <si>
    <t>MUS-0062</t>
  </si>
  <si>
    <t>Clavier arrangeur 062</t>
  </si>
  <si>
    <t>MUS-0063</t>
  </si>
  <si>
    <t>Batterie electronique 063</t>
  </si>
  <si>
    <t>SMP-0071</t>
  </si>
  <si>
    <t>Smartphone Ultra 071</t>
  </si>
  <si>
    <t>SMP-0072</t>
  </si>
  <si>
    <t>Smartphone Prime 072</t>
  </si>
  <si>
    <t>MUS-0064</t>
  </si>
  <si>
    <t>Batterie electronique 064</t>
  </si>
  <si>
    <t>SMP-0073</t>
  </si>
  <si>
    <t>Smartphone Nova 073</t>
  </si>
  <si>
    <t>ELM-0074</t>
  </si>
  <si>
    <t>Aspirateur 074</t>
  </si>
  <si>
    <t>MUS-0065</t>
  </si>
  <si>
    <t>Piano numerique 065</t>
  </si>
  <si>
    <t>MUS-0066</t>
  </si>
  <si>
    <t>Clavier arrangeur 066</t>
  </si>
  <si>
    <t>SMP-0074</t>
  </si>
  <si>
    <t>Smartphone Lite 074</t>
  </si>
  <si>
    <t>GEN-0063</t>
  </si>
  <si>
    <t>Groupe 5kVA 063</t>
  </si>
  <si>
    <t>GEN-0064</t>
  </si>
  <si>
    <t>Groupe 5kVA 064</t>
  </si>
  <si>
    <t>GEN-0065</t>
  </si>
  <si>
    <t>Groupe 12kVA 065</t>
  </si>
  <si>
    <t>GEN-0066</t>
  </si>
  <si>
    <t>Groupe silencieux 6kVA 066</t>
  </si>
  <si>
    <t>MUS-0067</t>
  </si>
  <si>
    <t>Piano numerique 067</t>
  </si>
  <si>
    <t>SMP-0075</t>
  </si>
  <si>
    <t>Smartphone Nova 075</t>
  </si>
  <si>
    <t>MUS-0068</t>
  </si>
  <si>
    <t>Guitare acoustique 068</t>
  </si>
  <si>
    <t>GEN-0067</t>
  </si>
  <si>
    <t>Groupe 12kVA 067</t>
  </si>
  <si>
    <t>GEN-0068</t>
  </si>
  <si>
    <t>Groupe 12kVA 068</t>
  </si>
  <si>
    <t>SMP-0076</t>
  </si>
  <si>
    <t>Smartphone Alpha 076</t>
  </si>
  <si>
    <t>SMP-0077</t>
  </si>
  <si>
    <t>Smartphone Lite 077</t>
  </si>
  <si>
    <t>ELM-0075</t>
  </si>
  <si>
    <t>Refrigerateur 075</t>
  </si>
  <si>
    <t>GEN-0069</t>
  </si>
  <si>
    <t>Groupe 8kVA 069</t>
  </si>
  <si>
    <t>SMP-0078</t>
  </si>
  <si>
    <t>Smartphone Ultra 078</t>
  </si>
  <si>
    <t>MUS-0069</t>
  </si>
  <si>
    <t>Violon etude 069</t>
  </si>
  <si>
    <t>GEN-0070</t>
  </si>
  <si>
    <t>Groupe 5kVA 070</t>
  </si>
  <si>
    <t>MUS-0070</t>
  </si>
  <si>
    <t>Batterie electronique 070</t>
  </si>
  <si>
    <t>GEN-0071</t>
  </si>
  <si>
    <t>Groupe 5kVA 071</t>
  </si>
  <si>
    <t>ELM-0076</t>
  </si>
  <si>
    <t>Micro-ondes 076</t>
  </si>
  <si>
    <t>SMP-0079</t>
  </si>
  <si>
    <t>Smartphone Nova 079</t>
  </si>
  <si>
    <t>SMP-0080</t>
  </si>
  <si>
    <t>Smartphone Prime 080</t>
  </si>
  <si>
    <t>MUS-0071</t>
  </si>
  <si>
    <t>Piano numerique 071</t>
  </si>
  <si>
    <t>ELM-0077</t>
  </si>
  <si>
    <t>Climatiseur 077</t>
  </si>
  <si>
    <t>SMP-0081</t>
  </si>
  <si>
    <t>Smartphone Nova 081</t>
  </si>
  <si>
    <t>SMP-0082</t>
  </si>
  <si>
    <t>Smartphone Prime 082</t>
  </si>
  <si>
    <t>MUS-0072</t>
  </si>
  <si>
    <t>Clavier arrangeur 072</t>
  </si>
  <si>
    <t>MUS-0073</t>
  </si>
  <si>
    <t>Batterie electronique 073</t>
  </si>
  <si>
    <t>SMP-0083</t>
  </si>
  <si>
    <t>Smartphone Nova 083</t>
  </si>
  <si>
    <t>GEN-0072</t>
  </si>
  <si>
    <t>Groupe 12kVA 072</t>
  </si>
  <si>
    <t>GEN-0073</t>
  </si>
  <si>
    <t>Groupe silencieux 6kVA 073</t>
  </si>
  <si>
    <t>MUS-0074</t>
  </si>
  <si>
    <t>Batterie electronique 074</t>
  </si>
  <si>
    <t>MUS-0075</t>
  </si>
  <si>
    <t>Clavier arrangeur 075</t>
  </si>
  <si>
    <t>SMP-0084</t>
  </si>
  <si>
    <t>Smartphone Nova 084</t>
  </si>
  <si>
    <t>MUS-0076</t>
  </si>
  <si>
    <t>Guitare acoustique 076</t>
  </si>
  <si>
    <t>ELM-0078</t>
  </si>
  <si>
    <t>Micro-ondes 078</t>
  </si>
  <si>
    <t>SMP-0085</t>
  </si>
  <si>
    <t>Smartphone Ultra 085</t>
  </si>
  <si>
    <t>GEN-0074</t>
  </si>
  <si>
    <t>Groupe silencieux 6kVA 074</t>
  </si>
  <si>
    <t>ELM-0079</t>
  </si>
  <si>
    <t>Mixeur 079</t>
  </si>
  <si>
    <t>MUS-0077</t>
  </si>
  <si>
    <t>Violon etude 077</t>
  </si>
  <si>
    <t>MUS-0078</t>
  </si>
  <si>
    <t>Saxophone alto 078</t>
  </si>
  <si>
    <t>SMP-0086</t>
  </si>
  <si>
    <t>Smartphone Edge 086</t>
  </si>
  <si>
    <t>MUS-0079</t>
  </si>
  <si>
    <t>Violon etude 079</t>
  </si>
  <si>
    <t>SMP-0087</t>
  </si>
  <si>
    <t>Smartphone Lite 087</t>
  </si>
  <si>
    <t>ELM-0080</t>
  </si>
  <si>
    <t>Refrigerateur 080</t>
  </si>
  <si>
    <t>ELM-0081</t>
  </si>
  <si>
    <t>Mixeur 081</t>
  </si>
  <si>
    <t>MUS-0080</t>
  </si>
  <si>
    <t>Piano numerique 080</t>
  </si>
  <si>
    <t>MUS-0081</t>
  </si>
  <si>
    <t>Guitare acoustique 081</t>
  </si>
  <si>
    <t>ELM-0082</t>
  </si>
  <si>
    <t>Aspirateur 082</t>
  </si>
  <si>
    <t>GEN-0075</t>
  </si>
  <si>
    <t>Groupe 8kVA 075</t>
  </si>
  <si>
    <t>SMP-0088</t>
  </si>
  <si>
    <t>Smartphone Alpha 088</t>
  </si>
  <si>
    <t>SMP-0089</t>
  </si>
  <si>
    <t>Smartphone Ultra 089</t>
  </si>
  <si>
    <t>GEN-0076</t>
  </si>
  <si>
    <t>Groupe 8kVA 076</t>
  </si>
  <si>
    <t>SMP-0090</t>
  </si>
  <si>
    <t>Smartphone Alpha 090</t>
  </si>
  <si>
    <t>MUS-0082</t>
  </si>
  <si>
    <t>Clavier arrangeur 082</t>
  </si>
  <si>
    <t>SMP-0091</t>
  </si>
  <si>
    <t>Smartphone Ultra 091</t>
  </si>
  <si>
    <t>MUS-0083</t>
  </si>
  <si>
    <t>Batterie electronique 083</t>
  </si>
  <si>
    <t>GEN-0077</t>
  </si>
  <si>
    <t>Groupe 8kVA 077</t>
  </si>
  <si>
    <t>MUS-0084</t>
  </si>
  <si>
    <t>Saxophone alto 084</t>
  </si>
  <si>
    <t>GEN-0078</t>
  </si>
  <si>
    <t>Groupe 12kVA 078</t>
  </si>
  <si>
    <t>SMP-0092</t>
  </si>
  <si>
    <t>Smartphone Alpha 092</t>
  </si>
  <si>
    <t>ELM-0083</t>
  </si>
  <si>
    <t>Lave-linge 083</t>
  </si>
  <si>
    <t>MUS-0085</t>
  </si>
  <si>
    <t>Batterie electronique 085</t>
  </si>
  <si>
    <t>SMP-0093</t>
  </si>
  <si>
    <t>Smartphone Alpha 093</t>
  </si>
  <si>
    <t>MUS-0086</t>
  </si>
  <si>
    <t>Guitare acoustique 086</t>
  </si>
  <si>
    <t>ELM-0084</t>
  </si>
  <si>
    <t>Aspirateur 084</t>
  </si>
  <si>
    <t>MUS-0087</t>
  </si>
  <si>
    <t>Saxophone alto 087</t>
  </si>
  <si>
    <t>GEN-0079</t>
  </si>
  <si>
    <t>Groupe 5kVA 079</t>
  </si>
  <si>
    <t>MUS-0088</t>
  </si>
  <si>
    <t>Batterie electronique 088</t>
  </si>
  <si>
    <t>MUS-0089</t>
  </si>
  <si>
    <t>Guitare acoustique 089</t>
  </si>
  <si>
    <t>MUS-0090</t>
  </si>
  <si>
    <t>Saxophone alto 090</t>
  </si>
  <si>
    <t>SMP-0094</t>
  </si>
  <si>
    <t>Smartphone Prime 094</t>
  </si>
  <si>
    <t>ELM-0085</t>
  </si>
  <si>
    <t>Mixeur 085</t>
  </si>
  <si>
    <t>SMP-0095</t>
  </si>
  <si>
    <t>Smartphone Ultra 095</t>
  </si>
  <si>
    <t>GEN-0080</t>
  </si>
  <si>
    <t>Groupe 5kVA 080</t>
  </si>
  <si>
    <t>GEN-0081</t>
  </si>
  <si>
    <t>Groupe 2kVA 081</t>
  </si>
  <si>
    <t>GEN-0082</t>
  </si>
  <si>
    <t>Groupe 12kVA 082</t>
  </si>
  <si>
    <t>GEN-0083</t>
  </si>
  <si>
    <t>Groupe 8kVA 083</t>
  </si>
  <si>
    <t>MUS-0091</t>
  </si>
  <si>
    <t>Batterie electronique 091</t>
  </si>
  <si>
    <t>SMP-0096</t>
  </si>
  <si>
    <t>Smartphone Alpha 096</t>
  </si>
  <si>
    <t>GEN-0084</t>
  </si>
  <si>
    <t>Groupe silencieux 6kVA 084</t>
  </si>
  <si>
    <t>MUS-0092</t>
  </si>
  <si>
    <t>Clavier arrangeur 092</t>
  </si>
  <si>
    <t>MUS-0093</t>
  </si>
  <si>
    <t>Piano numerique 093</t>
  </si>
  <si>
    <t>SMP-0097</t>
  </si>
  <si>
    <t>Smartphone Prime 097</t>
  </si>
  <si>
    <t>GEN-0085</t>
  </si>
  <si>
    <t>Groupe 2kVA 085</t>
  </si>
  <si>
    <t>ELM-0086</t>
  </si>
  <si>
    <t>Climatiseur 086</t>
  </si>
  <si>
    <t>MUS-0094</t>
  </si>
  <si>
    <t>Piano numerique 094</t>
  </si>
  <si>
    <t>ELM-0087</t>
  </si>
  <si>
    <t>Aspirateur 087</t>
  </si>
  <si>
    <t>ELM-0088</t>
  </si>
  <si>
    <t>Fer a repasser 088</t>
  </si>
  <si>
    <t>MUS-0095</t>
  </si>
  <si>
    <t>Clavier arrangeur 095</t>
  </si>
  <si>
    <t>ELM-0089</t>
  </si>
  <si>
    <t>Mixeur 089</t>
  </si>
  <si>
    <t>MUS-0096</t>
  </si>
  <si>
    <t>Piano numerique 096</t>
  </si>
  <si>
    <t>MUS-0097</t>
  </si>
  <si>
    <t>Piano numerique 097</t>
  </si>
  <si>
    <t>MUS-0098</t>
  </si>
  <si>
    <t>Guitare acoustique 098</t>
  </si>
  <si>
    <t>ELM-0090</t>
  </si>
  <si>
    <t>Fer a repasser 090</t>
  </si>
  <si>
    <t>GEN-0086</t>
  </si>
  <si>
    <t>Groupe 8kVA 086</t>
  </si>
  <si>
    <t>ELM-0091</t>
  </si>
  <si>
    <t>Refrigerateur 091</t>
  </si>
  <si>
    <t>ELM-0092</t>
  </si>
  <si>
    <t>Congelateur 092</t>
  </si>
  <si>
    <t>SMP-0098</t>
  </si>
  <si>
    <t>Smartphone Edge 098</t>
  </si>
  <si>
    <t>ELM-0093</t>
  </si>
  <si>
    <t>Climatiseur 093</t>
  </si>
  <si>
    <t>MUS-0099</t>
  </si>
  <si>
    <t>Guitare acoustique 099</t>
  </si>
  <si>
    <t>ELM-0094</t>
  </si>
  <si>
    <t>Aspirateur 094</t>
  </si>
  <si>
    <t>ELM-0095</t>
  </si>
  <si>
    <t>Lave-linge 095</t>
  </si>
  <si>
    <t>SMP-0099</t>
  </si>
  <si>
    <t>Smartphone Lite 099</t>
  </si>
  <si>
    <t>GEN-0087</t>
  </si>
  <si>
    <t>Groupe 5kVA 087</t>
  </si>
  <si>
    <t>ELM-0096</t>
  </si>
  <si>
    <t>Congelateur 096</t>
  </si>
  <si>
    <t>ELM-0097</t>
  </si>
  <si>
    <t>Climatiseur 097</t>
  </si>
  <si>
    <t>GEN-0088</t>
  </si>
  <si>
    <t>Groupe 8kVA 088</t>
  </si>
  <si>
    <t>GEN-0089</t>
  </si>
  <si>
    <t>Groupe silencieux 6kVA 089</t>
  </si>
  <si>
    <t>ELM-0098</t>
  </si>
  <si>
    <t>Lave-linge 098</t>
  </si>
  <si>
    <t>GEN-0090</t>
  </si>
  <si>
    <t>Groupe 5kVA 090</t>
  </si>
  <si>
    <t>MUS-0100</t>
  </si>
  <si>
    <t>Piano numerique 100</t>
  </si>
  <si>
    <t>MUS-0101</t>
  </si>
  <si>
    <t>Violon etude 101</t>
  </si>
  <si>
    <t>ELM-0099</t>
  </si>
  <si>
    <t>Fer a repasser 099</t>
  </si>
  <si>
    <t>SMP-0100</t>
  </si>
  <si>
    <t>Smartphone Prime 100</t>
  </si>
  <si>
    <t>GEN-0091</t>
  </si>
  <si>
    <t>Groupe silencieux 6kVA 091</t>
  </si>
  <si>
    <t>SMP-0101</t>
  </si>
  <si>
    <t>Smartphone Edge 101</t>
  </si>
  <si>
    <t>MUS-0102</t>
  </si>
  <si>
    <t>Piano numerique 102</t>
  </si>
  <si>
    <t>MUS-0103</t>
  </si>
  <si>
    <t>Batterie electronique 103</t>
  </si>
  <si>
    <t>ELM-0100</t>
  </si>
  <si>
    <t>Fer a repasser 100</t>
  </si>
  <si>
    <t>ELM-0101</t>
  </si>
  <si>
    <t>Congelateur 101</t>
  </si>
  <si>
    <t>GEN-0092</t>
  </si>
  <si>
    <t>Groupe 2kVA 092</t>
  </si>
  <si>
    <t>ELM-0102</t>
  </si>
  <si>
    <t>Congelateur 102</t>
  </si>
  <si>
    <t>GEN-0093</t>
  </si>
  <si>
    <t>Groupe 12kVA 093</t>
  </si>
  <si>
    <t>ELM-0103</t>
  </si>
  <si>
    <t>Congelateur 103</t>
  </si>
  <si>
    <t>GEN-0094</t>
  </si>
  <si>
    <t>Groupe 8kVA 094</t>
  </si>
  <si>
    <t>SMP-0102</t>
  </si>
  <si>
    <t>Smartphone Prime 102</t>
  </si>
  <si>
    <t>SMP-0103</t>
  </si>
  <si>
    <t>Smartphone Ultra 103</t>
  </si>
  <si>
    <t>SMP-0104</t>
  </si>
  <si>
    <t>Smartphone Edge 104</t>
  </si>
  <si>
    <t>MUS-0104</t>
  </si>
  <si>
    <t>Piano numerique 104</t>
  </si>
  <si>
    <t>GEN-0095</t>
  </si>
  <si>
    <t>Groupe 5kVA 095</t>
  </si>
  <si>
    <t>MUS-0105</t>
  </si>
  <si>
    <t>Guitare acoustique 105</t>
  </si>
  <si>
    <t>GEN-0096</t>
  </si>
  <si>
    <t>Groupe 2kVA 096</t>
  </si>
  <si>
    <t>MUS-0106</t>
  </si>
  <si>
    <t>Saxophone alto 106</t>
  </si>
  <si>
    <t>ELM-0104</t>
  </si>
  <si>
    <t>Congelateur 104</t>
  </si>
  <si>
    <t>MUS-0107</t>
  </si>
  <si>
    <t>Clavier arrangeur 107</t>
  </si>
  <si>
    <t>MUS-0108</t>
  </si>
  <si>
    <t>Guitare acoustique 108</t>
  </si>
  <si>
    <t>GEN-0097</t>
  </si>
  <si>
    <t>Groupe 5kVA 097</t>
  </si>
  <si>
    <t>ELM-0105</t>
  </si>
  <si>
    <t>Aspirateur 105</t>
  </si>
  <si>
    <t>GEN-0098</t>
  </si>
  <si>
    <t>Groupe 5kVA 098</t>
  </si>
  <si>
    <t>GEN-0099</t>
  </si>
  <si>
    <t>Groupe 12kVA 099</t>
  </si>
  <si>
    <t>ELM-0106</t>
  </si>
  <si>
    <t>Congelateur 106</t>
  </si>
  <si>
    <t>GEN-0100</t>
  </si>
  <si>
    <t>Groupe 5kVA 100</t>
  </si>
  <si>
    <t>MUS-0109</t>
  </si>
  <si>
    <t>Saxophone alto 109</t>
  </si>
  <si>
    <t>SMP-0105</t>
  </si>
  <si>
    <t>Smartphone Prime 105</t>
  </si>
  <si>
    <t>ELM-0107</t>
  </si>
  <si>
    <t>Lave-linge 107</t>
  </si>
  <si>
    <t>ELM-0108</t>
  </si>
  <si>
    <t>Lave-linge 108</t>
  </si>
  <si>
    <t>SMP-0106</t>
  </si>
  <si>
    <t>Smartphone Nova 106</t>
  </si>
  <si>
    <t>MUS-0110</t>
  </si>
  <si>
    <t>Guitare acoustique 110</t>
  </si>
  <si>
    <t>ELM-0109</t>
  </si>
  <si>
    <t>Micro-ondes 109</t>
  </si>
  <si>
    <t>ELM-0110</t>
  </si>
  <si>
    <t>Refrigerateur 110</t>
  </si>
  <si>
    <t>ELM-0111</t>
  </si>
  <si>
    <t>Climatiseur 111</t>
  </si>
  <si>
    <t>SMP-0107</t>
  </si>
  <si>
    <t>Smartphone Nova 107</t>
  </si>
  <si>
    <t>MUS-0111</t>
  </si>
  <si>
    <t>Clavier arrangeur 111</t>
  </si>
  <si>
    <t>ELM-0112</t>
  </si>
  <si>
    <t>Mixeur 112</t>
  </si>
  <si>
    <t>MUS-0112</t>
  </si>
  <si>
    <t>Clavier arrangeur 112</t>
  </si>
  <si>
    <t>MUS-0113</t>
  </si>
  <si>
    <t>Saxophone alto 113</t>
  </si>
  <si>
    <t>ELM-0113</t>
  </si>
  <si>
    <t>Lave-linge 113</t>
  </si>
  <si>
    <t>SMP-0108</t>
  </si>
  <si>
    <t>Smartphone Lite 108</t>
  </si>
  <si>
    <t>MUS-0114</t>
  </si>
  <si>
    <t>Batterie electronique 114</t>
  </si>
  <si>
    <t>ELM-0114</t>
  </si>
  <si>
    <t>Lave-linge 114</t>
  </si>
  <si>
    <t>SMP-0109</t>
  </si>
  <si>
    <t>Smartphone Ultra 109</t>
  </si>
  <si>
    <t>MUS-0115</t>
  </si>
  <si>
    <t>Clavier arrangeur 115</t>
  </si>
  <si>
    <t>ELM-0115</t>
  </si>
  <si>
    <t>Aspirateur 115</t>
  </si>
  <si>
    <t>GEN-0101</t>
  </si>
  <si>
    <t>Groupe 5kVA 101</t>
  </si>
  <si>
    <t>MUS-0116</t>
  </si>
  <si>
    <t>Clavier arrangeur 116</t>
  </si>
  <si>
    <t>GEN-0102</t>
  </si>
  <si>
    <t>Groupe 5kVA 102</t>
  </si>
  <si>
    <t>MUS-0117</t>
  </si>
  <si>
    <t>Clavier arrangeur 117</t>
  </si>
  <si>
    <t>ELM-0116</t>
  </si>
  <si>
    <t>Fer a repasser 116</t>
  </si>
  <si>
    <t>ELM-0117</t>
  </si>
  <si>
    <t>Aspirateur 117</t>
  </si>
  <si>
    <t>GEN-0103</t>
  </si>
  <si>
    <t>Groupe silencieux 6kVA 103</t>
  </si>
  <si>
    <t>MUS-0118</t>
  </si>
  <si>
    <t>Guitare acoustique 118</t>
  </si>
  <si>
    <t>MUS-0119</t>
  </si>
  <si>
    <t>Batterie electronique 119</t>
  </si>
  <si>
    <t>ELM-0118</t>
  </si>
  <si>
    <t>Congelateur 118</t>
  </si>
  <si>
    <t>ELM-0119</t>
  </si>
  <si>
    <t>Aspirateur 119</t>
  </si>
  <si>
    <t>SMP-0110</t>
  </si>
  <si>
    <t>Smartphone Prime 110</t>
  </si>
  <si>
    <t>SMP-0111</t>
  </si>
  <si>
    <t>Smartphone Prime 111</t>
  </si>
  <si>
    <t>ELM-0120</t>
  </si>
  <si>
    <t>Refrigerateur 120</t>
  </si>
  <si>
    <t>MUS-0120</t>
  </si>
  <si>
    <t>Saxophone alto 120</t>
  </si>
  <si>
    <t>MUS-0121</t>
  </si>
  <si>
    <t>Clavier arrangeur 121</t>
  </si>
  <si>
    <t>MUS-0122</t>
  </si>
  <si>
    <t>Batterie electronique 122</t>
  </si>
  <si>
    <t>MUS-0123</t>
  </si>
  <si>
    <t>Batterie electronique 123</t>
  </si>
  <si>
    <t>SMP-0112</t>
  </si>
  <si>
    <t>Smartphone Ultra 112</t>
  </si>
  <si>
    <t>SMP-0113</t>
  </si>
  <si>
    <t>Smartphone Alpha 113</t>
  </si>
  <si>
    <t>SMP-0114</t>
  </si>
  <si>
    <t>Smartphone Prime 114</t>
  </si>
  <si>
    <t>SMP-0115</t>
  </si>
  <si>
    <t>Smartphone Prime 115</t>
  </si>
  <si>
    <t>ELM-0121</t>
  </si>
  <si>
    <t>Lave-linge 121</t>
  </si>
  <si>
    <t>ELM-0122</t>
  </si>
  <si>
    <t>Mixeur 122</t>
  </si>
  <si>
    <t>GEN-0104</t>
  </si>
  <si>
    <t>Groupe silencieux 6kVA 104</t>
  </si>
  <si>
    <t>SMP-0116</t>
  </si>
  <si>
    <t>Smartphone Alpha 116</t>
  </si>
  <si>
    <t>SMP-0117</t>
  </si>
  <si>
    <t>Smartphone Alpha 117</t>
  </si>
  <si>
    <t>SMP-0118</t>
  </si>
  <si>
    <t>Smartphone Alpha 118</t>
  </si>
  <si>
    <t>GEN-0105</t>
  </si>
  <si>
    <t>Groupe 8kVA 105</t>
  </si>
  <si>
    <t>MUS-0124</t>
  </si>
  <si>
    <t>Clavier arrangeur 124</t>
  </si>
  <si>
    <t>GEN-0106</t>
  </si>
  <si>
    <t>Groupe 8kVA 106</t>
  </si>
  <si>
    <t>MUS-0125</t>
  </si>
  <si>
    <t>Saxophone alto 125</t>
  </si>
  <si>
    <t>GEN-0107</t>
  </si>
  <si>
    <t>Groupe silencieux 6kVA 107</t>
  </si>
  <si>
    <t>SMP-0119</t>
  </si>
  <si>
    <t>Smartphone Nova 119</t>
  </si>
  <si>
    <t>GEN-0108</t>
  </si>
  <si>
    <t>Groupe 12kVA 108</t>
  </si>
  <si>
    <t>MUS-0126</t>
  </si>
  <si>
    <t>Violon etude 126</t>
  </si>
  <si>
    <t>GEN-0109</t>
  </si>
  <si>
    <t>Groupe silencieux 6kVA 109</t>
  </si>
  <si>
    <t>SMP-0120</t>
  </si>
  <si>
    <t>Smartphone Nova 120</t>
  </si>
  <si>
    <t>MUS-0127</t>
  </si>
  <si>
    <t>Batterie electronique 127</t>
  </si>
  <si>
    <t>SMP-0121</t>
  </si>
  <si>
    <t>Smartphone Prime 121</t>
  </si>
  <si>
    <t>ELM-0123</t>
  </si>
  <si>
    <t>Mixeur 123</t>
  </si>
  <si>
    <t>ELM-0124</t>
  </si>
  <si>
    <t>Aspirateur 124</t>
  </si>
  <si>
    <t>SMP-0122</t>
  </si>
  <si>
    <t>Smartphone Nova 122</t>
  </si>
  <si>
    <t>MUS-0128</t>
  </si>
  <si>
    <t>Guitare acoustique 128</t>
  </si>
  <si>
    <t>ELM-0125</t>
  </si>
  <si>
    <t>Refrigerateur 125</t>
  </si>
  <si>
    <t>ELM-0126</t>
  </si>
  <si>
    <t>Climatiseur 126</t>
  </si>
  <si>
    <t>SMP-0123</t>
  </si>
  <si>
    <t>Smartphone Ultra 123</t>
  </si>
  <si>
    <t>GEN-0110</t>
  </si>
  <si>
    <t>Groupe 8kVA 110</t>
  </si>
  <si>
    <t>ELM-0127</t>
  </si>
  <si>
    <t>Lave-linge 127</t>
  </si>
  <si>
    <t>ELM-0128</t>
  </si>
  <si>
    <t>Congelateur 128</t>
  </si>
  <si>
    <t>SMP-0124</t>
  </si>
  <si>
    <t>Smartphone Alpha 124</t>
  </si>
  <si>
    <t>GEN-0111</t>
  </si>
  <si>
    <t>Groupe 8kVA 111</t>
  </si>
  <si>
    <t>MUS-0129</t>
  </si>
  <si>
    <t>Saxophone alto 129</t>
  </si>
  <si>
    <t>SMP-0125</t>
  </si>
  <si>
    <t>Smartphone Prime 125</t>
  </si>
  <si>
    <t>GEN-0112</t>
  </si>
  <si>
    <t>Groupe silencieux 6kVA 112</t>
  </si>
  <si>
    <t>MUS-0130</t>
  </si>
  <si>
    <t>Piano numerique 130</t>
  </si>
  <si>
    <t>SMP-0126</t>
  </si>
  <si>
    <t>Smartphone Ultra 126</t>
  </si>
  <si>
    <t>ELM-0129</t>
  </si>
  <si>
    <t>Mixeur 129</t>
  </si>
  <si>
    <t>ELM-0130</t>
  </si>
  <si>
    <t>Micro-ondes 130</t>
  </si>
  <si>
    <t>SMP-0127</t>
  </si>
  <si>
    <t>Smartphone Prime 127</t>
  </si>
  <si>
    <t>GEN-0113</t>
  </si>
  <si>
    <t>Groupe 8kVA 113</t>
  </si>
  <si>
    <t>Date</t>
  </si>
  <si>
    <t>Quantite</t>
  </si>
  <si>
    <t>Type</t>
  </si>
  <si>
    <t>2025-01-01</t>
  </si>
  <si>
    <t>Entree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</si>
  <si>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</si>
  <si>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</si>
  <si>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</si>
  <si>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</si>
  <si>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</si>
  <si>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</si>
  <si>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</si>
  <si>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</si>
  <si>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</si>
  <si>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</si>
  <si>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</si>
  <si>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</si>
  <si>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</si>
  <si>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</si>
  <si>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</si>
  <si>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</si>
  <si>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</si>
  <si>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</si>
  <si>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</si>
  <si>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</si>
  <si>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</si>
  <si>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</si>
  <si>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2025-01-26</t>
  </si>
  <si>
    <t>2025-01-27</t>
  </si>
  <si>
    <t>2025-01-28</t>
  </si>
  <si>
    <t>2025-01-29</t>
  </si>
  <si>
    <t>2025-01-30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</si>
  <si>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</si>
  <si>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</si>
  <si>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</si>
  <si>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</si>
  <si>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</si>
  <si>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</si>
  <si>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</si>
  <si>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</si>
  <si>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</si>
  <si>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</si>
  <si>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2025-02-12</t>
  </si>
  <si>
    <t>2025-02-13</t>
  </si>
  <si>
    <t>2025-02-14</t>
  </si>
  <si>
    <t>2025-02-15</t>
  </si>
  <si>
    <t>2025-02-17</t>
  </si>
  <si>
    <t>2025-02-18</t>
  </si>
  <si>
    <t>2025-02-19</t>
  </si>
  <si>
    <t>2025-02-20</t>
  </si>
  <si>
    <t>2025-02-21</t>
  </si>
  <si>
    <t>2025-02-25</t>
  </si>
  <si>
    <t>2025-02-26</t>
  </si>
  <si>
    <t>2025-02-28</t>
  </si>
  <si>
    <t>2025-03-01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</si>
  <si>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</si>
  <si>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</si>
  <si>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</si>
  <si>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</si>
  <si>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</si>
  <si>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</si>
  <si>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</si>
  <si>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</si>
  <si>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2025-03-16</t>
  </si>
  <si>
    <t>2025-03-17</t>
  </si>
  <si>
    <t>2025-03-18</t>
  </si>
  <si>
    <t>2025-03-20</t>
  </si>
  <si>
    <t>2025-03-21</t>
  </si>
  <si>
    <t>2025-03-22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</si>
  <si>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</si>
  <si>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</si>
  <si>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</si>
  <si>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</si>
  <si>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</si>
  <si>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</si>
  <si>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</si>
  <si>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</si>
  <si>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</si>
  <si>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2025-04-03</t>
  </si>
  <si>
    <t>2025-04-04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</si>
  <si>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</si>
  <si>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</si>
  <si>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</si>
  <si>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</si>
  <si>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</si>
  <si>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</si>
  <si>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</si>
  <si>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</si>
  <si>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</si>
  <si>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</si>
  <si>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</si>
  <si>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</si>
  <si>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</si>
  <si>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</si>
  <si>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2025-04-21</t>
  </si>
  <si>
    <t>2025-04-22</t>
  </si>
  <si>
    <t>2025-04-23</t>
  </si>
  <si>
    <t>2025-04-25</t>
  </si>
  <si>
    <t>2025-04-26</t>
  </si>
  <si>
    <t>2025-04-28</t>
  </si>
  <si>
    <t>2025-04-29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</si>
  <si>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</si>
  <si>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</si>
  <si>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</si>
  <si>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</si>
  <si>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</si>
  <si>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</si>
  <si>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</si>
  <si>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</si>
  <si>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2025-05-10</t>
  </si>
  <si>
    <t>2025-05-11</t>
  </si>
  <si>
    <t>2025-05-13</t>
  </si>
  <si>
    <t>2025-05-14</t>
  </si>
  <si>
    <t>2025-05-16</t>
  </si>
  <si>
    <t>2025-05-17</t>
  </si>
  <si>
    <t>2025-05-18</t>
  </si>
  <si>
    <t>2025-05-19</t>
  </si>
  <si>
    <t>2025-05-21</t>
  </si>
  <si>
    <t>2025-05-24</t>
  </si>
  <si>
    <t>2025-05-25</t>
  </si>
  <si>
    <t>2025-05-26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</si>
  <si>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</si>
  <si>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</si>
  <si>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</si>
  <si>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</si>
  <si>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</si>
  <si>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</si>
  <si>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</si>
  <si>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</si>
  <si>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</si>
  <si>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</si>
  <si>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</si>
  <si>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</si>
  <si>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</si>
  <si>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</si>
  <si>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</si>
  <si>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</si>
  <si>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</si>
  <si>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</si>
  <si>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</si>
  <si>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</si>
  <si>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</si>
  <si>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</si>
  <si>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</si>
  <si>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</si>
  <si>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</si>
  <si>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</si>
  <si>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</si>
  <si>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2025-06-27</t>
  </si>
  <si>
    <t>2025-06-29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</si>
  <si>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</si>
  <si>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</si>
  <si>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</si>
  <si>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</si>
  <si>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</si>
  <si>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</si>
  <si>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</si>
  <si>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</si>
  <si>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</si>
  <si>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</si>
  <si>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</si>
  <si>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</si>
  <si>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</si>
  <si>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</si>
  <si>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</si>
  <si>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</si>
  <si>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</si>
  <si>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2025-07-23</t>
  </si>
  <si>
    <t>2025-07-24</t>
  </si>
  <si>
    <t>2025-07-25</t>
  </si>
  <si>
    <t>2025-07-26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</si>
  <si>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</si>
  <si>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</si>
  <si>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</si>
  <si>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</si>
  <si>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</si>
  <si>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</si>
  <si>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</si>
  <si>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2025-08-05</t>
  </si>
  <si>
    <t>2025-08-06</t>
  </si>
  <si>
    <t>2025-08-07</t>
  </si>
  <si>
    <t>2025-08-08</t>
  </si>
  <si>
    <t>2025-08-09</t>
  </si>
  <si>
    <t>2025-08-11</t>
  </si>
  <si>
    <t>2025-08-12</t>
  </si>
  <si>
    <t>2025-08-14</t>
  </si>
  <si>
    <t>2025-08-15</t>
  </si>
  <si>
    <t>2025-08-16</t>
  </si>
  <si>
    <t>2025-08-17</t>
  </si>
  <si>
    <t>2025-08-19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</si>
  <si>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</si>
  <si>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</si>
  <si>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</si>
  <si>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</si>
  <si>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</si>
  <si>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</si>
  <si>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</si>
  <si>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</si>
  <si>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</si>
  <si>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</si>
  <si>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</si>
  <si>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</si>
  <si>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</si>
  <si>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</si>
  <si>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</si>
  <si>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</si>
  <si>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</si>
  <si>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</si>
  <si>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</si>
  <si>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</si>
  <si>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</si>
  <si>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</si>
  <si>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</si>
  <si>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</si>
  <si>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</si>
  <si>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</si>
  <si>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</si>
  <si>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</si>
  <si>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</si>
  <si>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</si>
  <si>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</si>
  <si>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</si>
  <si>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</si>
  <si>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</si>
  <si>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</si>
  <si>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</si>
  <si>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</si>
  <si>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</si>
  <si>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</si>
  <si>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</si>
  <si>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</si>
  <si>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</si>
  <si>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</si>
  <si>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</si>
  <si>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</si>
  <si>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</si>
  <si>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</si>
  <si>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</si>
  <si>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</si>
  <si>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</si>
  <si>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</si>
  <si>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</si>
  <si>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</si>
  <si>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2025-10-17</t>
  </si>
  <si>
    <t>2025-10-18</t>
  </si>
  <si>
    <t>2025-10-20</t>
  </si>
  <si>
    <t>2025-10-22</t>
  </si>
  <si>
    <t>2025-10-23</t>
  </si>
  <si>
    <t>2025-10-24</t>
  </si>
  <si>
    <t>2025-10-25</t>
  </si>
  <si>
    <t>2025-10-26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</si>
  <si>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</si>
  <si>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</si>
  <si>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</si>
  <si>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</si>
  <si>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</si>
  <si>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</si>
  <si>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</si>
  <si>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</si>
  <si>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</si>
  <si>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</si>
  <si>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</si>
  <si>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2025-11-09</t>
  </si>
  <si>
    <t>2025-11-10</t>
  </si>
  <si>
    <t>2025-11-11</t>
  </si>
  <si>
    <t>2025-11-12</t>
  </si>
  <si>
    <t>2025-11-13</t>
  </si>
  <si>
    <t>2025-11-15</t>
  </si>
  <si>
    <t>2025-11-16</t>
  </si>
  <si>
    <t>2025-11-17</t>
  </si>
  <si>
    <t>2025-11-18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</si>
  <si>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</si>
  <si>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</si>
  <si>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</si>
  <si>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</si>
  <si>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</si>
  <si>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</si>
  <si>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</si>
  <si>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</si>
  <si>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</si>
  <si>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</si>
  <si>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2025-12-02</t>
  </si>
  <si>
    <t>2025-12-03</t>
  </si>
  <si>
    <t>2025-12-04</t>
  </si>
  <si>
    <t>2025-12-05</t>
  </si>
  <si>
    <t>2025-12-06</t>
  </si>
  <si>
    <t>2025-12-08</t>
  </si>
  <si>
    <t>2025-12-10</t>
  </si>
  <si>
    <t>2025-12-11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</si>
  <si>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</si>
  <si>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</si>
  <si>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</si>
  <si>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</si>
  <si>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</si>
  <si>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</si>
  <si>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</si>
  <si>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</si>
  <si>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</si>
  <si>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</si>
  <si>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</si>
  <si>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</si>
  <si>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</si>
  <si>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</si>
  <si>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</si>
  <si>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</si>
  <si>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</si>
  <si>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</si>
  <si>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</si>
  <si>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</si>
  <si>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</si>
  <si>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</si>
  <si>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</si>
  <si>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</si>
  <si>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</si>
  <si>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2026-01-09</t>
  </si>
  <si>
    <t>2026-01-10</t>
  </si>
  <si>
    <t>2026-01-11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</si>
  <si>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</si>
  <si>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</si>
  <si>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</si>
  <si>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</si>
  <si>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</si>
  <si>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</si>
  <si>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</si>
  <si>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</si>
  <si>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</si>
  <si>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</si>
  <si>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</si>
  <si>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2026-01-25</t>
  </si>
  <si>
    <t>2026-01-27</t>
  </si>
  <si>
    <t>2026-01-28</t>
  </si>
  <si>
    <t>2026-01-29</t>
  </si>
  <si>
    <t>2026-01-30</t>
  </si>
  <si>
    <t>2026-01-31</t>
  </si>
  <si>
    <t>2026-02-01</t>
  </si>
  <si>
    <t>2026-02-03</t>
  </si>
  <si>
    <t>2026-02-04</t>
  </si>
  <si>
    <t>2026-02-05</t>
  </si>
  <si>
    <t>2026-02-06</t>
  </si>
  <si>
    <t>2026-02-07</t>
  </si>
  <si>
    <t>2026-02-08</t>
  </si>
  <si>
    <t>2026-02-10</t>
  </si>
  <si>
    <t>2026-02-12</t>
  </si>
  <si>
    <t>2026-02-13</t>
  </si>
  <si>
    <t>2026-02-14</t>
  </si>
  <si>
    <t>2026-02-15</t>
  </si>
  <si>
    <t>2026-02-16</t>
  </si>
  <si>
    <t>2026-02-17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</si>
  <si>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</si>
  <si>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</si>
  <si>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</si>
  <si>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</si>
  <si>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</si>
  <si>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</si>
  <si>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</si>
  <si>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2026-02-28</t>
  </si>
  <si>
    <t>2026-03-01</t>
  </si>
  <si>
    <t>2026-03-02</t>
  </si>
  <si>
    <t>2026-03-03</t>
  </si>
  <si>
    <t>2026-03-04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</si>
  <si>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</si>
  <si>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</si>
  <si>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</si>
  <si>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</si>
  <si>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</si>
  <si>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</si>
  <si>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</si>
  <si>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</si>
  <si>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</si>
  <si>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</si>
  <si>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</si>
  <si>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</si>
  <si>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</si>
  <si>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</si>
  <si>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</si>
  <si>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Sortie</t>
  </si>
  <si>
    <t>2025-01-09</t>
  </si>
  <si>
    <t>2025-01-25</t>
  </si>
  <si>
    <t>2025-01-31</t>
  </si>
  <si>
    <t>2025-02-11</t>
  </si>
  <si>
    <t>2025-02-16</t>
  </si>
  <si>
    <t>2025-02-22</t>
  </si>
  <si>
    <t>2025-02-23</t>
  </si>
  <si>
    <t>2025-02-24</t>
  </si>
  <si>
    <t>2025-02-27</t>
  </si>
  <si>
    <t>2025-03-02</t>
  </si>
  <si>
    <t>2025-03-03</t>
  </si>
  <si>
    <t>2025-03-08</t>
  </si>
  <si>
    <t>2025-03-09</t>
  </si>
  <si>
    <t>2025-03-15</t>
  </si>
  <si>
    <t>2025-03-19</t>
  </si>
  <si>
    <t>2025-03-23</t>
  </si>
  <si>
    <t>2025-04-02</t>
  </si>
  <si>
    <t>2025-04-05</t>
  </si>
  <si>
    <t>2025-04-27</t>
  </si>
  <si>
    <t>2025-04-30</t>
  </si>
  <si>
    <t>2025-05-09</t>
  </si>
  <si>
    <t>2025-05-15</t>
  </si>
  <si>
    <t>2025-05-22</t>
  </si>
  <si>
    <t>2025-05-23</t>
  </si>
  <si>
    <t>2025-05-27</t>
  </si>
  <si>
    <t>2025-06-06</t>
  </si>
  <si>
    <t>2025-06-28</t>
  </si>
  <si>
    <t>2025-07-05</t>
  </si>
  <si>
    <t>2025-07-06</t>
  </si>
  <si>
    <t>2025-07-12</t>
  </si>
  <si>
    <t>2025-07-13</t>
  </si>
  <si>
    <t>2025-07-21</t>
  </si>
  <si>
    <t>2025-07-27</t>
  </si>
  <si>
    <t>2025-08-04</t>
  </si>
  <si>
    <t>2025-08-10</t>
  </si>
  <si>
    <t>2025-08-18</t>
  </si>
  <si>
    <t>2025-08-20</t>
  </si>
  <si>
    <t>2025-08-21</t>
  </si>
  <si>
    <t>2025-09-12</t>
  </si>
  <si>
    <t>2025-10-16</t>
  </si>
  <si>
    <t>2025-10-19</t>
  </si>
  <si>
    <t>2025-10-21</t>
  </si>
  <si>
    <t>2025-10-27</t>
  </si>
  <si>
    <t>2025-11-08</t>
  </si>
  <si>
    <t>2025-11-14</t>
  </si>
  <si>
    <t>2025-11-19</t>
  </si>
  <si>
    <t>2025-11-20</t>
  </si>
  <si>
    <t>2025-12-01</t>
  </si>
  <si>
    <t>2025-12-07</t>
  </si>
  <si>
    <t>2025-12-09</t>
  </si>
  <si>
    <t>2025-12-12</t>
  </si>
  <si>
    <t>2025-12-27</t>
  </si>
  <si>
    <t>2026-01-08</t>
  </si>
  <si>
    <t>2026-01-12</t>
  </si>
  <si>
    <t>2026-01-24</t>
  </si>
  <si>
    <t>2026-01-26</t>
  </si>
  <si>
    <t>2026-02-02</t>
  </si>
  <si>
    <t>2026-02-09</t>
  </si>
  <si>
    <t>2026-02-11</t>
  </si>
  <si>
    <t>2026-02-18</t>
  </si>
  <si>
    <t>2026-02-27</t>
  </si>
  <si>
    <t>2026-03-05</t>
  </si>
  <si>
    <t>reference</t>
  </si>
  <si>
    <t>designation</t>
  </si>
  <si>
    <t>categorie</t>
  </si>
  <si>
    <t>stock initial</t>
  </si>
  <si>
    <t>seuil d'alerte</t>
  </si>
  <si>
    <t>entrees</t>
  </si>
  <si>
    <t>sorties</t>
  </si>
  <si>
    <t>stock final</t>
  </si>
  <si>
    <t>valeur</t>
  </si>
  <si>
    <t>statut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</si>
</sst>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4E78"/>
          <bgColor rgb="FF1F4E78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4E78"/>
          <bgColor rgb="FF1F4E78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4E78"/>
          <bgColor rgb="FF1F4E7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688614-AB4B-4FC6-89EA-8B852CDCA920}" name="listeMarchandises" displayName="listeMarchandises" ref="A1:H501" totalsRowShown="0" headerRowDxfId="2">
  <autoFilter ref="A1:H501" xr:uid="{3C688614-AB4B-4FC6-89EA-8B852CDCA920}"/>
  <tableColumns count="8">
    <tableColumn id="1" xr3:uid="{F6047B4B-7018-4142-87AD-DB3CBFF13DEE}" name="Reference"/>
    <tableColumn id="2" xr3:uid="{A2BC3C89-8422-4E0D-BDA2-B0C8FA2BD37C}" name="Designation"/>
    <tableColumn id="3" xr3:uid="{2CE92CFF-EBCA-4168-9FD4-2E85ED6B67D7}" name="Categorie"/>
    <tableColumn id="4" xr3:uid="{505C0B0A-C274-46B6-91A4-C88EC5CB7FE5}" name="Seuil d'alerte"/>
    <tableColumn id="5" xr3:uid="{5A1489C9-A750-4DDA-ABFB-428EED1BFEEC}" name="Unite"/>
    <tableColumn id="6" xr3:uid="{891A6CB9-C333-45D4-8AE2-D064FCCB44E6}" name="Stock initial"/>
    <tableColumn id="7" xr3:uid="{D21E3146-0EBC-45A8-8CE2-2D6ED799BE39}" name="Prix Unitaire"/>
    <tableColumn id="8" xr3:uid="{1B3E3B1C-D586-4C43-B311-1F64C6D26929}" name="Tota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33F387-0BC0-466F-A5C9-13210127C770}" name="listeEntrées" displayName="listeEntrées" ref="A1:H801" totalsRowShown="0" headerRowDxfId="1">
  <autoFilter ref="A1:H801" xr:uid="{8133F387-0BC0-466F-A5C9-13210127C770}"/>
  <tableColumns count="8">
    <tableColumn id="1" xr3:uid="{ACB94235-46F9-4F10-89C9-82D732AA9D6B}" name="Date"/>
    <tableColumn id="2" xr3:uid="{CF9B87C0-DB1E-4292-9A92-E84B8761F1B9}" name="Reference"/>
    <tableColumn id="3" xr3:uid="{8BFF9E9C-FC8A-4753-94D1-32B2E451D3AE}" name="Designation"/>
    <tableColumn id="4" xr3:uid="{984F5D28-A8C7-4D1F-93A3-A551799659C2}" name="Categorie"/>
    <tableColumn id="5" xr3:uid="{20CA1CA0-D600-4FB6-9B36-3482C9D9D328}" name="Prix Unitaire"/>
    <tableColumn id="6" xr3:uid="{D3B57843-117F-4BB3-80F7-95985DF7F154}" name="Quantite"/>
    <tableColumn id="7" xr3:uid="{E0CE05B1-6CB0-416B-8850-588272A05463}" name="Total"/>
    <tableColumn id="8" xr3:uid="{945BF3D9-267E-417A-8E5E-0174F0E2F997}" name="Typ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237CF6-86A3-4BBA-96E4-92A48FA6CF0A}" name="listeSorties" displayName="listeSorties" ref="A1:H901" totalsRowShown="0" headerRowDxfId="0">
  <autoFilter ref="A1:H901" xr:uid="{78237CF6-86A3-4BBA-96E4-92A48FA6CF0A}"/>
  <tableColumns count="8">
    <tableColumn id="1" xr3:uid="{CF8079D4-2B24-4241-8310-708430F81B6D}" name="Date"/>
    <tableColumn id="2" xr3:uid="{C46A0AD2-3123-446D-B442-0472D2361070}" name="Reference"/>
    <tableColumn id="3" xr3:uid="{A282E706-D771-4595-8ED7-647F64D5B650}" name="Designation"/>
    <tableColumn id="4" xr3:uid="{4F3CD731-5E61-42E3-9D02-A83BD6C8647C}" name="Categorie"/>
    <tableColumn id="5" xr3:uid="{18A26F24-1F9E-474A-A069-D0695BBF520F}" name="Prix Unitaire"/>
    <tableColumn id="6" xr3:uid="{9953688E-DF90-4648-B0D4-C15DB28174F9}" name="Quantite"/>
    <tableColumn id="7" xr3:uid="{F34A8C00-A696-470B-8C04-858D42D3E14D}" name="Total"/>
    <tableColumn id="8" xr3:uid="{F503DAEA-E1AC-449D-B2C4-69786EAD1C7C}" name="Typ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47D6A6-7BD1-4933-AA7E-EF197E7BC514}" name="Table4" displayName="Table4" ref="A1:J589" totalsRowShown="0">
  <autoFilter ref="A1:J589" xr:uid="{9B47D6A6-7BD1-4933-AA7E-EF197E7BC514}"/>
  <tableColumns count="10">
    <tableColumn id="1" xr3:uid="{657D2496-F18F-4D99-A1EC-232321811239}" name="reference"/>
    <tableColumn id="2" xr3:uid="{E831AD87-4F8F-475F-B525-7FAFEF806655}" name="designation">
      <calculatedColumnFormula>VLOOKUP(Table4[[#This Row],[reference]],listeMarchandises[],2,FALSE)</calculatedColumnFormula>
    </tableColumn>
    <tableColumn id="3" xr3:uid="{0A4DAED2-DA0D-4C8C-B329-B2A18622A4CF}" name="categorie"/>
    <tableColumn id="4" xr3:uid="{BB5D8D84-57D1-4260-B7B6-62038EE7D01B}" name="seuil d'alerte"/>
    <tableColumn id="5" xr3:uid="{C774A57E-19DE-4ECD-B981-44F5DCC5B316}" name="stock initial"/>
    <tableColumn id="6" xr3:uid="{45518085-1806-44DB-984A-869D4AEABED7}" name="entrees"/>
    <tableColumn id="7" xr3:uid="{C8AF51FB-2EE5-4F36-A262-8BEA176A4E75}" name="sorties"/>
    <tableColumn id="8" xr3:uid="{2D2FAB39-C800-4007-ABDB-71751B057244}" name="stock final"/>
    <tableColumn id="9" xr3:uid="{402D19FA-1EB7-43C6-80FE-CA97FBFAEB86}" name="valeur"/>
    <tableColumn id="10" xr3:uid="{9F76C715-1A01-458B-8873-2916643FB61F}" name="statu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opLeftCell="A472" workbookViewId="0">
      <selection activeCell="C478" sqref="C478"/>
    </sheetView>
  </sheetViews>
  <sheetFormatPr baseColWidth="10" defaultColWidth="9.140625" defaultRowHeight="15" x14ac:dyDescent="0.25"/>
  <cols>
    <col min="1" max="1" width="12.28515625" customWidth="1"/>
    <col min="2" max="2" width="28" customWidth="1"/>
    <col min="3" max="3" width="23" customWidth="1"/>
    <col min="4" max="4" width="16" customWidth="1"/>
    <col min="5" max="5" width="12" customWidth="1"/>
    <col min="6" max="8" width="1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9</v>
      </c>
      <c r="E2" t="s">
        <v>11</v>
      </c>
      <c r="F2">
        <v>235</v>
      </c>
      <c r="G2">
        <v>993150.83</v>
      </c>
      <c r="H2">
        <v>233390445.05000001</v>
      </c>
    </row>
    <row r="3" spans="1:8" x14ac:dyDescent="0.25">
      <c r="A3" t="s">
        <v>12</v>
      </c>
      <c r="B3" t="s">
        <v>13</v>
      </c>
      <c r="C3" t="s">
        <v>14</v>
      </c>
      <c r="D3">
        <v>18</v>
      </c>
      <c r="E3" t="s">
        <v>11</v>
      </c>
      <c r="F3">
        <v>44</v>
      </c>
      <c r="G3">
        <v>891046.06</v>
      </c>
      <c r="H3">
        <v>39206026.640000001</v>
      </c>
    </row>
    <row r="4" spans="1:8" x14ac:dyDescent="0.25">
      <c r="A4" t="s">
        <v>15</v>
      </c>
      <c r="B4" t="s">
        <v>16</v>
      </c>
      <c r="C4" t="s">
        <v>10</v>
      </c>
      <c r="D4">
        <v>16</v>
      </c>
      <c r="E4" t="s">
        <v>11</v>
      </c>
      <c r="F4">
        <v>145</v>
      </c>
      <c r="G4">
        <v>1579871.45</v>
      </c>
      <c r="H4">
        <v>229081360.25</v>
      </c>
    </row>
    <row r="5" spans="1:8" x14ac:dyDescent="0.25">
      <c r="A5" t="s">
        <v>17</v>
      </c>
      <c r="B5" t="s">
        <v>18</v>
      </c>
      <c r="C5" t="s">
        <v>19</v>
      </c>
      <c r="D5">
        <v>9</v>
      </c>
      <c r="E5" t="s">
        <v>11</v>
      </c>
      <c r="F5">
        <v>28</v>
      </c>
      <c r="G5">
        <v>1346653.72</v>
      </c>
      <c r="H5">
        <v>37706304.159999996</v>
      </c>
    </row>
    <row r="6" spans="1:8" x14ac:dyDescent="0.25">
      <c r="A6" t="s">
        <v>20</v>
      </c>
      <c r="B6" t="s">
        <v>21</v>
      </c>
      <c r="C6" t="s">
        <v>10</v>
      </c>
      <c r="D6">
        <v>7</v>
      </c>
      <c r="E6" t="s">
        <v>11</v>
      </c>
      <c r="F6">
        <v>122</v>
      </c>
      <c r="G6">
        <v>988135.97</v>
      </c>
      <c r="H6">
        <v>120552588.34</v>
      </c>
    </row>
    <row r="7" spans="1:8" x14ac:dyDescent="0.25">
      <c r="A7" t="s">
        <v>22</v>
      </c>
      <c r="B7" t="s">
        <v>23</v>
      </c>
      <c r="C7" t="s">
        <v>19</v>
      </c>
      <c r="D7">
        <v>10</v>
      </c>
      <c r="E7" t="s">
        <v>11</v>
      </c>
      <c r="F7">
        <v>314</v>
      </c>
      <c r="G7">
        <v>100349.7</v>
      </c>
      <c r="H7">
        <v>31509805.800000001</v>
      </c>
    </row>
    <row r="8" spans="1:8" x14ac:dyDescent="0.25">
      <c r="A8" t="s">
        <v>24</v>
      </c>
      <c r="B8" t="s">
        <v>25</v>
      </c>
      <c r="C8" t="s">
        <v>26</v>
      </c>
      <c r="D8">
        <v>20</v>
      </c>
      <c r="E8" t="s">
        <v>11</v>
      </c>
      <c r="F8">
        <v>88</v>
      </c>
      <c r="G8">
        <v>2185146.3199999998</v>
      </c>
      <c r="H8">
        <v>192292876.16</v>
      </c>
    </row>
    <row r="9" spans="1:8" x14ac:dyDescent="0.25">
      <c r="A9" t="s">
        <v>27</v>
      </c>
      <c r="B9" t="s">
        <v>28</v>
      </c>
      <c r="C9" t="s">
        <v>14</v>
      </c>
      <c r="D9">
        <v>22</v>
      </c>
      <c r="E9" t="s">
        <v>11</v>
      </c>
      <c r="F9">
        <v>363</v>
      </c>
      <c r="G9">
        <v>697486.13</v>
      </c>
      <c r="H9">
        <v>253187465.19</v>
      </c>
    </row>
    <row r="10" spans="1:8" x14ac:dyDescent="0.25">
      <c r="A10" t="s">
        <v>29</v>
      </c>
      <c r="B10" t="s">
        <v>30</v>
      </c>
      <c r="C10" t="s">
        <v>26</v>
      </c>
      <c r="D10">
        <v>16</v>
      </c>
      <c r="E10" t="s">
        <v>11</v>
      </c>
      <c r="F10">
        <v>123</v>
      </c>
      <c r="G10">
        <v>507952.92</v>
      </c>
      <c r="H10">
        <v>62478209.159999996</v>
      </c>
    </row>
    <row r="11" spans="1:8" x14ac:dyDescent="0.25">
      <c r="A11" t="s">
        <v>31</v>
      </c>
      <c r="B11" t="s">
        <v>32</v>
      </c>
      <c r="C11" t="s">
        <v>26</v>
      </c>
      <c r="D11">
        <v>22</v>
      </c>
      <c r="E11" t="s">
        <v>11</v>
      </c>
      <c r="F11">
        <v>223</v>
      </c>
      <c r="G11">
        <v>3507571.76</v>
      </c>
      <c r="H11">
        <v>782188502.48000002</v>
      </c>
    </row>
    <row r="12" spans="1:8" x14ac:dyDescent="0.25">
      <c r="A12" t="s">
        <v>33</v>
      </c>
      <c r="B12" t="s">
        <v>34</v>
      </c>
      <c r="C12" t="s">
        <v>10</v>
      </c>
      <c r="D12">
        <v>6</v>
      </c>
      <c r="E12" t="s">
        <v>11</v>
      </c>
      <c r="F12">
        <v>49</v>
      </c>
      <c r="G12">
        <v>271258.87</v>
      </c>
      <c r="H12">
        <v>13291684.630000001</v>
      </c>
    </row>
    <row r="13" spans="1:8" x14ac:dyDescent="0.25">
      <c r="A13" t="s">
        <v>35</v>
      </c>
      <c r="B13" t="s">
        <v>36</v>
      </c>
      <c r="C13" t="s">
        <v>14</v>
      </c>
      <c r="D13">
        <v>16</v>
      </c>
      <c r="E13" t="s">
        <v>11</v>
      </c>
      <c r="F13">
        <v>132</v>
      </c>
      <c r="G13">
        <v>478613.44</v>
      </c>
      <c r="H13">
        <v>63176974.079999998</v>
      </c>
    </row>
    <row r="14" spans="1:8" x14ac:dyDescent="0.25">
      <c r="A14" t="s">
        <v>37</v>
      </c>
      <c r="B14" t="s">
        <v>38</v>
      </c>
      <c r="C14" t="s">
        <v>14</v>
      </c>
      <c r="D14">
        <v>6</v>
      </c>
      <c r="E14" t="s">
        <v>11</v>
      </c>
      <c r="F14">
        <v>219</v>
      </c>
      <c r="G14">
        <v>952382.51</v>
      </c>
      <c r="H14">
        <v>208571769.69</v>
      </c>
    </row>
    <row r="15" spans="1:8" x14ac:dyDescent="0.25">
      <c r="A15" t="s">
        <v>39</v>
      </c>
      <c r="B15" t="s">
        <v>40</v>
      </c>
      <c r="C15" t="s">
        <v>19</v>
      </c>
      <c r="D15">
        <v>17</v>
      </c>
      <c r="E15" t="s">
        <v>11</v>
      </c>
      <c r="F15">
        <v>319</v>
      </c>
      <c r="G15">
        <v>186667.03</v>
      </c>
      <c r="H15">
        <v>59546782.57</v>
      </c>
    </row>
    <row r="16" spans="1:8" x14ac:dyDescent="0.25">
      <c r="A16" t="s">
        <v>41</v>
      </c>
      <c r="B16" t="s">
        <v>42</v>
      </c>
      <c r="C16" t="s">
        <v>26</v>
      </c>
      <c r="D16">
        <v>24</v>
      </c>
      <c r="E16" t="s">
        <v>11</v>
      </c>
      <c r="F16">
        <v>151</v>
      </c>
      <c r="G16">
        <v>3235163.78</v>
      </c>
      <c r="H16">
        <v>488509730.77999997</v>
      </c>
    </row>
    <row r="17" spans="1:8" x14ac:dyDescent="0.25">
      <c r="A17" t="s">
        <v>43</v>
      </c>
      <c r="B17" t="s">
        <v>44</v>
      </c>
      <c r="C17" t="s">
        <v>10</v>
      </c>
      <c r="D17">
        <v>11</v>
      </c>
      <c r="E17" t="s">
        <v>11</v>
      </c>
      <c r="F17">
        <v>194</v>
      </c>
      <c r="G17">
        <v>1418281.04</v>
      </c>
      <c r="H17">
        <v>275146521.75999999</v>
      </c>
    </row>
    <row r="18" spans="1:8" x14ac:dyDescent="0.25">
      <c r="A18" t="s">
        <v>45</v>
      </c>
      <c r="B18" t="s">
        <v>46</v>
      </c>
      <c r="C18" t="s">
        <v>19</v>
      </c>
      <c r="D18">
        <v>19</v>
      </c>
      <c r="E18" t="s">
        <v>11</v>
      </c>
      <c r="F18">
        <v>264</v>
      </c>
      <c r="G18">
        <v>1221974.21</v>
      </c>
      <c r="H18">
        <v>322601191.44</v>
      </c>
    </row>
    <row r="19" spans="1:8" x14ac:dyDescent="0.25">
      <c r="A19" t="s">
        <v>47</v>
      </c>
      <c r="B19" t="s">
        <v>48</v>
      </c>
      <c r="C19" t="s">
        <v>14</v>
      </c>
      <c r="D19">
        <v>7</v>
      </c>
      <c r="E19" t="s">
        <v>11</v>
      </c>
      <c r="F19">
        <v>302</v>
      </c>
      <c r="G19">
        <v>64336.06</v>
      </c>
      <c r="H19">
        <v>19429490.120000001</v>
      </c>
    </row>
    <row r="20" spans="1:8" x14ac:dyDescent="0.25">
      <c r="A20" t="s">
        <v>49</v>
      </c>
      <c r="B20" t="s">
        <v>50</v>
      </c>
      <c r="C20" t="s">
        <v>14</v>
      </c>
      <c r="D20">
        <v>4</v>
      </c>
      <c r="E20" t="s">
        <v>11</v>
      </c>
      <c r="F20">
        <v>306</v>
      </c>
      <c r="G20">
        <v>264575.07</v>
      </c>
      <c r="H20">
        <v>80959971.420000002</v>
      </c>
    </row>
    <row r="21" spans="1:8" x14ac:dyDescent="0.25">
      <c r="A21" t="s">
        <v>51</v>
      </c>
      <c r="B21" t="s">
        <v>52</v>
      </c>
      <c r="C21" t="s">
        <v>14</v>
      </c>
      <c r="D21">
        <v>16</v>
      </c>
      <c r="E21" t="s">
        <v>11</v>
      </c>
      <c r="F21">
        <v>45</v>
      </c>
      <c r="G21">
        <v>389571.17</v>
      </c>
      <c r="H21">
        <v>17530702.649999999</v>
      </c>
    </row>
    <row r="22" spans="1:8" x14ac:dyDescent="0.25">
      <c r="A22" t="s">
        <v>53</v>
      </c>
      <c r="B22" t="s">
        <v>54</v>
      </c>
      <c r="C22" t="s">
        <v>19</v>
      </c>
      <c r="D22">
        <v>5</v>
      </c>
      <c r="E22" t="s">
        <v>11</v>
      </c>
      <c r="F22">
        <v>159</v>
      </c>
      <c r="G22">
        <v>371026.68</v>
      </c>
      <c r="H22">
        <v>58993242.119999997</v>
      </c>
    </row>
    <row r="23" spans="1:8" x14ac:dyDescent="0.25">
      <c r="A23" t="s">
        <v>55</v>
      </c>
      <c r="B23" t="s">
        <v>56</v>
      </c>
      <c r="C23" t="s">
        <v>14</v>
      </c>
      <c r="D23">
        <v>22</v>
      </c>
      <c r="E23" t="s">
        <v>11</v>
      </c>
      <c r="F23">
        <v>43</v>
      </c>
      <c r="G23">
        <v>1062577.0900000001</v>
      </c>
      <c r="H23">
        <v>45690814.869999997</v>
      </c>
    </row>
    <row r="24" spans="1:8" x14ac:dyDescent="0.25">
      <c r="A24" t="s">
        <v>57</v>
      </c>
      <c r="B24" t="s">
        <v>58</v>
      </c>
      <c r="C24" t="s">
        <v>19</v>
      </c>
      <c r="D24">
        <v>3</v>
      </c>
      <c r="E24" t="s">
        <v>11</v>
      </c>
      <c r="F24">
        <v>149</v>
      </c>
      <c r="G24">
        <v>1001569.06</v>
      </c>
      <c r="H24">
        <v>149233789.94</v>
      </c>
    </row>
    <row r="25" spans="1:8" x14ac:dyDescent="0.25">
      <c r="A25" t="s">
        <v>59</v>
      </c>
      <c r="B25" t="s">
        <v>60</v>
      </c>
      <c r="C25" t="s">
        <v>26</v>
      </c>
      <c r="D25">
        <v>15</v>
      </c>
      <c r="E25" t="s">
        <v>11</v>
      </c>
      <c r="F25">
        <v>34</v>
      </c>
      <c r="G25">
        <v>672326.76</v>
      </c>
      <c r="H25">
        <v>22859109.84</v>
      </c>
    </row>
    <row r="26" spans="1:8" x14ac:dyDescent="0.25">
      <c r="A26" t="s">
        <v>61</v>
      </c>
      <c r="B26" t="s">
        <v>62</v>
      </c>
      <c r="C26" t="s">
        <v>10</v>
      </c>
      <c r="D26">
        <v>10</v>
      </c>
      <c r="E26" t="s">
        <v>11</v>
      </c>
      <c r="F26">
        <v>171</v>
      </c>
      <c r="G26">
        <v>436234.83</v>
      </c>
      <c r="H26">
        <v>74596155.930000007</v>
      </c>
    </row>
    <row r="27" spans="1:8" x14ac:dyDescent="0.25">
      <c r="A27" t="s">
        <v>63</v>
      </c>
      <c r="B27" t="s">
        <v>64</v>
      </c>
      <c r="C27" t="s">
        <v>19</v>
      </c>
      <c r="D27">
        <v>22</v>
      </c>
      <c r="E27" t="s">
        <v>11</v>
      </c>
      <c r="F27">
        <v>188</v>
      </c>
      <c r="G27">
        <v>1411699.5</v>
      </c>
      <c r="H27">
        <v>265399506</v>
      </c>
    </row>
    <row r="28" spans="1:8" x14ac:dyDescent="0.25">
      <c r="A28" t="s">
        <v>65</v>
      </c>
      <c r="B28" t="s">
        <v>66</v>
      </c>
      <c r="C28" t="s">
        <v>14</v>
      </c>
      <c r="D28">
        <v>25</v>
      </c>
      <c r="E28" t="s">
        <v>11</v>
      </c>
      <c r="F28">
        <v>52</v>
      </c>
      <c r="G28">
        <v>82132.7</v>
      </c>
      <c r="H28">
        <v>4270900.4000000004</v>
      </c>
    </row>
    <row r="29" spans="1:8" x14ac:dyDescent="0.25">
      <c r="A29" t="s">
        <v>67</v>
      </c>
      <c r="B29" t="s">
        <v>68</v>
      </c>
      <c r="C29" t="s">
        <v>19</v>
      </c>
      <c r="D29">
        <v>13</v>
      </c>
      <c r="E29" t="s">
        <v>11</v>
      </c>
      <c r="F29">
        <v>52</v>
      </c>
      <c r="G29">
        <v>432856.35</v>
      </c>
      <c r="H29">
        <v>22508530.199999999</v>
      </c>
    </row>
    <row r="30" spans="1:8" x14ac:dyDescent="0.25">
      <c r="A30" t="s">
        <v>69</v>
      </c>
      <c r="B30" t="s">
        <v>70</v>
      </c>
      <c r="C30" t="s">
        <v>26</v>
      </c>
      <c r="D30">
        <v>18</v>
      </c>
      <c r="E30" t="s">
        <v>11</v>
      </c>
      <c r="F30">
        <v>134</v>
      </c>
      <c r="G30">
        <v>2728225.33</v>
      </c>
      <c r="H30">
        <v>365582194.22000003</v>
      </c>
    </row>
    <row r="31" spans="1:8" x14ac:dyDescent="0.25">
      <c r="A31" t="s">
        <v>71</v>
      </c>
      <c r="B31" t="s">
        <v>72</v>
      </c>
      <c r="C31" t="s">
        <v>10</v>
      </c>
      <c r="D31">
        <v>19</v>
      </c>
      <c r="E31" t="s">
        <v>11</v>
      </c>
      <c r="F31">
        <v>75</v>
      </c>
      <c r="G31">
        <v>237493.22</v>
      </c>
      <c r="H31">
        <v>17811991.5</v>
      </c>
    </row>
    <row r="32" spans="1:8" x14ac:dyDescent="0.25">
      <c r="A32" t="s">
        <v>73</v>
      </c>
      <c r="B32" t="s">
        <v>74</v>
      </c>
      <c r="C32" t="s">
        <v>10</v>
      </c>
      <c r="D32">
        <v>6</v>
      </c>
      <c r="E32" t="s">
        <v>11</v>
      </c>
      <c r="F32">
        <v>84</v>
      </c>
      <c r="G32">
        <v>924098.28</v>
      </c>
      <c r="H32">
        <v>77624255.519999996</v>
      </c>
    </row>
    <row r="33" spans="1:8" x14ac:dyDescent="0.25">
      <c r="A33" t="s">
        <v>75</v>
      </c>
      <c r="B33" t="s">
        <v>76</v>
      </c>
      <c r="C33" t="s">
        <v>10</v>
      </c>
      <c r="D33">
        <v>22</v>
      </c>
      <c r="E33" t="s">
        <v>11</v>
      </c>
      <c r="F33">
        <v>304</v>
      </c>
      <c r="G33">
        <v>331134.31</v>
      </c>
      <c r="H33">
        <v>100664830.23999999</v>
      </c>
    </row>
    <row r="34" spans="1:8" x14ac:dyDescent="0.25">
      <c r="A34" t="s">
        <v>77</v>
      </c>
      <c r="B34" t="s">
        <v>78</v>
      </c>
      <c r="C34" t="s">
        <v>10</v>
      </c>
      <c r="D34">
        <v>4</v>
      </c>
      <c r="E34" t="s">
        <v>11</v>
      </c>
      <c r="F34">
        <v>36</v>
      </c>
      <c r="G34">
        <v>669981.92000000004</v>
      </c>
      <c r="H34">
        <v>24119349.120000001</v>
      </c>
    </row>
    <row r="35" spans="1:8" x14ac:dyDescent="0.25">
      <c r="A35" t="s">
        <v>79</v>
      </c>
      <c r="B35" t="s">
        <v>80</v>
      </c>
      <c r="C35" t="s">
        <v>14</v>
      </c>
      <c r="D35">
        <v>9</v>
      </c>
      <c r="E35" t="s">
        <v>11</v>
      </c>
      <c r="F35">
        <v>189</v>
      </c>
      <c r="G35">
        <v>247094.12</v>
      </c>
      <c r="H35">
        <v>46700788.68</v>
      </c>
    </row>
    <row r="36" spans="1:8" x14ac:dyDescent="0.25">
      <c r="A36" t="s">
        <v>81</v>
      </c>
      <c r="B36" t="s">
        <v>82</v>
      </c>
      <c r="C36" t="s">
        <v>14</v>
      </c>
      <c r="D36">
        <v>12</v>
      </c>
      <c r="E36" t="s">
        <v>11</v>
      </c>
      <c r="F36">
        <v>150</v>
      </c>
      <c r="G36">
        <v>532629.64</v>
      </c>
      <c r="H36">
        <v>79894446</v>
      </c>
    </row>
    <row r="37" spans="1:8" x14ac:dyDescent="0.25">
      <c r="A37" t="s">
        <v>83</v>
      </c>
      <c r="B37" t="s">
        <v>84</v>
      </c>
      <c r="C37" t="s">
        <v>19</v>
      </c>
      <c r="D37">
        <v>18</v>
      </c>
      <c r="E37" t="s">
        <v>11</v>
      </c>
      <c r="F37">
        <v>189</v>
      </c>
      <c r="G37">
        <v>1935849.15</v>
      </c>
      <c r="H37">
        <v>365875489.35000002</v>
      </c>
    </row>
    <row r="38" spans="1:8" x14ac:dyDescent="0.25">
      <c r="A38" t="s">
        <v>85</v>
      </c>
      <c r="B38" t="s">
        <v>86</v>
      </c>
      <c r="C38" t="s">
        <v>26</v>
      </c>
      <c r="D38">
        <v>21</v>
      </c>
      <c r="E38" t="s">
        <v>11</v>
      </c>
      <c r="F38">
        <v>268</v>
      </c>
      <c r="G38">
        <v>3219375.33</v>
      </c>
      <c r="H38">
        <v>862792588.44000006</v>
      </c>
    </row>
    <row r="39" spans="1:8" x14ac:dyDescent="0.25">
      <c r="A39" t="s">
        <v>87</v>
      </c>
      <c r="B39" t="s">
        <v>88</v>
      </c>
      <c r="C39" t="s">
        <v>26</v>
      </c>
      <c r="D39">
        <v>4</v>
      </c>
      <c r="E39" t="s">
        <v>11</v>
      </c>
      <c r="F39">
        <v>36</v>
      </c>
      <c r="G39">
        <v>3992109.14</v>
      </c>
      <c r="H39">
        <v>143715929.03999999</v>
      </c>
    </row>
    <row r="40" spans="1:8" x14ac:dyDescent="0.25">
      <c r="A40" t="s">
        <v>89</v>
      </c>
      <c r="B40" t="s">
        <v>90</v>
      </c>
      <c r="C40" t="s">
        <v>26</v>
      </c>
      <c r="D40">
        <v>22</v>
      </c>
      <c r="E40" t="s">
        <v>11</v>
      </c>
      <c r="F40">
        <v>178</v>
      </c>
      <c r="G40">
        <v>1159814.56</v>
      </c>
      <c r="H40">
        <v>206446991.68000001</v>
      </c>
    </row>
    <row r="41" spans="1:8" x14ac:dyDescent="0.25">
      <c r="A41" t="s">
        <v>91</v>
      </c>
      <c r="B41" t="s">
        <v>92</v>
      </c>
      <c r="C41" t="s">
        <v>10</v>
      </c>
      <c r="D41">
        <v>11</v>
      </c>
      <c r="E41" t="s">
        <v>11</v>
      </c>
      <c r="F41">
        <v>274</v>
      </c>
      <c r="G41">
        <v>1165683.33</v>
      </c>
      <c r="H41">
        <v>319397232.42000002</v>
      </c>
    </row>
    <row r="42" spans="1:8" x14ac:dyDescent="0.25">
      <c r="A42" t="s">
        <v>93</v>
      </c>
      <c r="B42" t="s">
        <v>94</v>
      </c>
      <c r="C42" t="s">
        <v>14</v>
      </c>
      <c r="D42">
        <v>9</v>
      </c>
      <c r="E42" t="s">
        <v>11</v>
      </c>
      <c r="F42">
        <v>253</v>
      </c>
      <c r="G42">
        <v>394646.86</v>
      </c>
      <c r="H42">
        <v>99845655.579999998</v>
      </c>
    </row>
    <row r="43" spans="1:8" x14ac:dyDescent="0.25">
      <c r="A43" t="s">
        <v>95</v>
      </c>
      <c r="B43" t="s">
        <v>96</v>
      </c>
      <c r="C43" t="s">
        <v>14</v>
      </c>
      <c r="D43">
        <v>3</v>
      </c>
      <c r="E43" t="s">
        <v>11</v>
      </c>
      <c r="F43">
        <v>38</v>
      </c>
      <c r="G43">
        <v>906733.71</v>
      </c>
      <c r="H43">
        <v>34455880.979999997</v>
      </c>
    </row>
    <row r="44" spans="1:8" x14ac:dyDescent="0.25">
      <c r="A44" t="s">
        <v>97</v>
      </c>
      <c r="B44" t="s">
        <v>98</v>
      </c>
      <c r="C44" t="s">
        <v>14</v>
      </c>
      <c r="D44">
        <v>15</v>
      </c>
      <c r="E44" t="s">
        <v>11</v>
      </c>
      <c r="F44">
        <v>348</v>
      </c>
      <c r="G44">
        <v>1147673.17</v>
      </c>
      <c r="H44">
        <v>399390263.16000003</v>
      </c>
    </row>
    <row r="45" spans="1:8" x14ac:dyDescent="0.25">
      <c r="A45" t="s">
        <v>99</v>
      </c>
      <c r="B45" t="s">
        <v>100</v>
      </c>
      <c r="C45" t="s">
        <v>14</v>
      </c>
      <c r="D45">
        <v>6</v>
      </c>
      <c r="E45" t="s">
        <v>11</v>
      </c>
      <c r="F45">
        <v>258</v>
      </c>
      <c r="G45">
        <v>508202.02</v>
      </c>
      <c r="H45">
        <v>131116121.16</v>
      </c>
    </row>
    <row r="46" spans="1:8" x14ac:dyDescent="0.25">
      <c r="A46" t="s">
        <v>101</v>
      </c>
      <c r="B46" t="s">
        <v>102</v>
      </c>
      <c r="C46" t="s">
        <v>10</v>
      </c>
      <c r="D46">
        <v>11</v>
      </c>
      <c r="E46" t="s">
        <v>11</v>
      </c>
      <c r="F46">
        <v>321</v>
      </c>
      <c r="G46">
        <v>477076.61</v>
      </c>
      <c r="H46">
        <v>153141591.81</v>
      </c>
    </row>
    <row r="47" spans="1:8" x14ac:dyDescent="0.25">
      <c r="A47" t="s">
        <v>103</v>
      </c>
      <c r="B47" t="s">
        <v>104</v>
      </c>
      <c r="C47" t="s">
        <v>14</v>
      </c>
      <c r="D47">
        <v>23</v>
      </c>
      <c r="E47" t="s">
        <v>11</v>
      </c>
      <c r="F47">
        <v>63</v>
      </c>
      <c r="G47">
        <v>477526.17</v>
      </c>
      <c r="H47">
        <v>30084148.710000001</v>
      </c>
    </row>
    <row r="48" spans="1:8" x14ac:dyDescent="0.25">
      <c r="A48" t="s">
        <v>105</v>
      </c>
      <c r="B48" t="s">
        <v>106</v>
      </c>
      <c r="C48" t="s">
        <v>19</v>
      </c>
      <c r="D48">
        <v>11</v>
      </c>
      <c r="E48" t="s">
        <v>11</v>
      </c>
      <c r="F48">
        <v>88</v>
      </c>
      <c r="G48">
        <v>1394089.86</v>
      </c>
      <c r="H48">
        <v>122679907.68000001</v>
      </c>
    </row>
    <row r="49" spans="1:8" x14ac:dyDescent="0.25">
      <c r="A49" t="s">
        <v>107</v>
      </c>
      <c r="B49" t="s">
        <v>108</v>
      </c>
      <c r="C49" t="s">
        <v>26</v>
      </c>
      <c r="D49">
        <v>10</v>
      </c>
      <c r="E49" t="s">
        <v>11</v>
      </c>
      <c r="F49">
        <v>351</v>
      </c>
      <c r="G49">
        <v>2392418.5099999998</v>
      </c>
      <c r="H49">
        <v>839738897.00999999</v>
      </c>
    </row>
    <row r="50" spans="1:8" x14ac:dyDescent="0.25">
      <c r="A50" t="s">
        <v>109</v>
      </c>
      <c r="B50" t="s">
        <v>110</v>
      </c>
      <c r="C50" t="s">
        <v>10</v>
      </c>
      <c r="D50">
        <v>4</v>
      </c>
      <c r="E50" t="s">
        <v>11</v>
      </c>
      <c r="F50">
        <v>310</v>
      </c>
      <c r="G50">
        <v>1254675.6000000001</v>
      </c>
      <c r="H50">
        <v>388949436</v>
      </c>
    </row>
    <row r="51" spans="1:8" x14ac:dyDescent="0.25">
      <c r="A51" t="s">
        <v>111</v>
      </c>
      <c r="B51" t="s">
        <v>112</v>
      </c>
      <c r="C51" t="s">
        <v>19</v>
      </c>
      <c r="D51">
        <v>17</v>
      </c>
      <c r="E51" t="s">
        <v>11</v>
      </c>
      <c r="F51">
        <v>269</v>
      </c>
      <c r="G51">
        <v>624339.49</v>
      </c>
      <c r="H51">
        <v>167947322.81</v>
      </c>
    </row>
    <row r="52" spans="1:8" x14ac:dyDescent="0.25">
      <c r="A52" t="s">
        <v>113</v>
      </c>
      <c r="B52" t="s">
        <v>114</v>
      </c>
      <c r="C52" t="s">
        <v>19</v>
      </c>
      <c r="D52">
        <v>17</v>
      </c>
      <c r="E52" t="s">
        <v>11</v>
      </c>
      <c r="F52">
        <v>268</v>
      </c>
      <c r="G52">
        <v>444724.96</v>
      </c>
      <c r="H52">
        <v>119186289.28</v>
      </c>
    </row>
    <row r="53" spans="1:8" x14ac:dyDescent="0.25">
      <c r="A53" t="s">
        <v>115</v>
      </c>
      <c r="B53" t="s">
        <v>116</v>
      </c>
      <c r="C53" t="s">
        <v>14</v>
      </c>
      <c r="D53">
        <v>5</v>
      </c>
      <c r="E53" t="s">
        <v>11</v>
      </c>
      <c r="F53">
        <v>316</v>
      </c>
      <c r="G53">
        <v>321619.93</v>
      </c>
      <c r="H53">
        <v>101631897.88</v>
      </c>
    </row>
    <row r="54" spans="1:8" x14ac:dyDescent="0.25">
      <c r="A54" t="s">
        <v>117</v>
      </c>
      <c r="B54" t="s">
        <v>118</v>
      </c>
      <c r="C54" t="s">
        <v>10</v>
      </c>
      <c r="D54">
        <v>6</v>
      </c>
      <c r="E54" t="s">
        <v>11</v>
      </c>
      <c r="F54">
        <v>149</v>
      </c>
      <c r="G54">
        <v>1262031.78</v>
      </c>
      <c r="H54">
        <v>188042735.22</v>
      </c>
    </row>
    <row r="55" spans="1:8" x14ac:dyDescent="0.25">
      <c r="A55" t="s">
        <v>119</v>
      </c>
      <c r="B55" t="s">
        <v>120</v>
      </c>
      <c r="C55" t="s">
        <v>10</v>
      </c>
      <c r="D55">
        <v>17</v>
      </c>
      <c r="E55" t="s">
        <v>11</v>
      </c>
      <c r="F55">
        <v>82</v>
      </c>
      <c r="G55">
        <v>349676.89</v>
      </c>
      <c r="H55">
        <v>28673504.98</v>
      </c>
    </row>
    <row r="56" spans="1:8" x14ac:dyDescent="0.25">
      <c r="A56" t="s">
        <v>121</v>
      </c>
      <c r="B56" t="s">
        <v>122</v>
      </c>
      <c r="C56" t="s">
        <v>26</v>
      </c>
      <c r="D56">
        <v>16</v>
      </c>
      <c r="E56" t="s">
        <v>11</v>
      </c>
      <c r="F56">
        <v>246</v>
      </c>
      <c r="G56">
        <v>3590138.67</v>
      </c>
      <c r="H56">
        <v>883174112.82000005</v>
      </c>
    </row>
    <row r="57" spans="1:8" x14ac:dyDescent="0.25">
      <c r="A57" t="s">
        <v>123</v>
      </c>
      <c r="B57" t="s">
        <v>124</v>
      </c>
      <c r="C57" t="s">
        <v>19</v>
      </c>
      <c r="D57">
        <v>9</v>
      </c>
      <c r="E57" t="s">
        <v>11</v>
      </c>
      <c r="F57">
        <v>155</v>
      </c>
      <c r="G57">
        <v>464664.99</v>
      </c>
      <c r="H57">
        <v>72023073.450000003</v>
      </c>
    </row>
    <row r="58" spans="1:8" x14ac:dyDescent="0.25">
      <c r="A58" t="s">
        <v>125</v>
      </c>
      <c r="B58" t="s">
        <v>126</v>
      </c>
      <c r="C58" t="s">
        <v>14</v>
      </c>
      <c r="D58">
        <v>20</v>
      </c>
      <c r="E58" t="s">
        <v>11</v>
      </c>
      <c r="F58">
        <v>228</v>
      </c>
      <c r="G58">
        <v>396258.48</v>
      </c>
      <c r="H58">
        <v>90346933.439999998</v>
      </c>
    </row>
    <row r="59" spans="1:8" x14ac:dyDescent="0.25">
      <c r="A59" t="s">
        <v>127</v>
      </c>
      <c r="B59" t="s">
        <v>128</v>
      </c>
      <c r="C59" t="s">
        <v>14</v>
      </c>
      <c r="D59">
        <v>19</v>
      </c>
      <c r="E59" t="s">
        <v>11</v>
      </c>
      <c r="F59">
        <v>281</v>
      </c>
      <c r="G59">
        <v>1106896.55</v>
      </c>
      <c r="H59">
        <v>311037930.55000001</v>
      </c>
    </row>
    <row r="60" spans="1:8" x14ac:dyDescent="0.25">
      <c r="A60" t="s">
        <v>129</v>
      </c>
      <c r="B60" t="s">
        <v>130</v>
      </c>
      <c r="C60" t="s">
        <v>26</v>
      </c>
      <c r="D60">
        <v>22</v>
      </c>
      <c r="E60" t="s">
        <v>11</v>
      </c>
      <c r="F60">
        <v>357</v>
      </c>
      <c r="G60">
        <v>3464849.12</v>
      </c>
      <c r="H60">
        <v>1236951135.8399999</v>
      </c>
    </row>
    <row r="61" spans="1:8" x14ac:dyDescent="0.25">
      <c r="A61" t="s">
        <v>131</v>
      </c>
      <c r="B61" t="s">
        <v>132</v>
      </c>
      <c r="C61" t="s">
        <v>26</v>
      </c>
      <c r="D61">
        <v>19</v>
      </c>
      <c r="E61" t="s">
        <v>11</v>
      </c>
      <c r="F61">
        <v>208</v>
      </c>
      <c r="G61">
        <v>2421919.8199999998</v>
      </c>
      <c r="H61">
        <v>503759322.56</v>
      </c>
    </row>
    <row r="62" spans="1:8" x14ac:dyDescent="0.25">
      <c r="A62" t="s">
        <v>133</v>
      </c>
      <c r="B62" t="s">
        <v>134</v>
      </c>
      <c r="C62" t="s">
        <v>14</v>
      </c>
      <c r="D62">
        <v>16</v>
      </c>
      <c r="E62" t="s">
        <v>11</v>
      </c>
      <c r="F62">
        <v>34</v>
      </c>
      <c r="G62">
        <v>906267.92</v>
      </c>
      <c r="H62">
        <v>30813109.280000001</v>
      </c>
    </row>
    <row r="63" spans="1:8" x14ac:dyDescent="0.25">
      <c r="A63" t="s">
        <v>135</v>
      </c>
      <c r="B63" t="s">
        <v>136</v>
      </c>
      <c r="C63" t="s">
        <v>14</v>
      </c>
      <c r="D63">
        <v>8</v>
      </c>
      <c r="E63" t="s">
        <v>11</v>
      </c>
      <c r="F63">
        <v>191</v>
      </c>
      <c r="G63">
        <v>1182548.44</v>
      </c>
      <c r="H63">
        <v>225866752.03999999</v>
      </c>
    </row>
    <row r="64" spans="1:8" x14ac:dyDescent="0.25">
      <c r="A64" t="s">
        <v>137</v>
      </c>
      <c r="B64" t="s">
        <v>138</v>
      </c>
      <c r="C64" t="s">
        <v>10</v>
      </c>
      <c r="D64">
        <v>7</v>
      </c>
      <c r="E64" t="s">
        <v>11</v>
      </c>
      <c r="F64">
        <v>274</v>
      </c>
      <c r="G64">
        <v>169651.96</v>
      </c>
      <c r="H64">
        <v>46484637.039999999</v>
      </c>
    </row>
    <row r="65" spans="1:8" x14ac:dyDescent="0.25">
      <c r="A65" t="s">
        <v>139</v>
      </c>
      <c r="B65" t="s">
        <v>140</v>
      </c>
      <c r="C65" t="s">
        <v>26</v>
      </c>
      <c r="D65">
        <v>20</v>
      </c>
      <c r="E65" t="s">
        <v>11</v>
      </c>
      <c r="F65">
        <v>65</v>
      </c>
      <c r="G65">
        <v>3085991.03</v>
      </c>
      <c r="H65">
        <v>200589416.94999999</v>
      </c>
    </row>
    <row r="66" spans="1:8" x14ac:dyDescent="0.25">
      <c r="A66" t="s">
        <v>141</v>
      </c>
      <c r="B66" t="s">
        <v>142</v>
      </c>
      <c r="C66" t="s">
        <v>14</v>
      </c>
      <c r="D66">
        <v>19</v>
      </c>
      <c r="E66" t="s">
        <v>11</v>
      </c>
      <c r="F66">
        <v>336</v>
      </c>
      <c r="G66">
        <v>593892.42000000004</v>
      </c>
      <c r="H66">
        <v>199547853.12</v>
      </c>
    </row>
    <row r="67" spans="1:8" x14ac:dyDescent="0.25">
      <c r="A67" t="s">
        <v>143</v>
      </c>
      <c r="B67" t="s">
        <v>144</v>
      </c>
      <c r="C67" t="s">
        <v>10</v>
      </c>
      <c r="D67">
        <v>21</v>
      </c>
      <c r="E67" t="s">
        <v>11</v>
      </c>
      <c r="F67">
        <v>299</v>
      </c>
      <c r="G67">
        <v>240292.15</v>
      </c>
      <c r="H67">
        <v>71847352.849999994</v>
      </c>
    </row>
    <row r="68" spans="1:8" x14ac:dyDescent="0.25">
      <c r="A68" t="s">
        <v>145</v>
      </c>
      <c r="B68" t="s">
        <v>146</v>
      </c>
      <c r="C68" t="s">
        <v>19</v>
      </c>
      <c r="D68">
        <v>11</v>
      </c>
      <c r="E68" t="s">
        <v>11</v>
      </c>
      <c r="F68">
        <v>43</v>
      </c>
      <c r="G68">
        <v>1401238.8</v>
      </c>
      <c r="H68">
        <v>60253268.399999999</v>
      </c>
    </row>
    <row r="69" spans="1:8" x14ac:dyDescent="0.25">
      <c r="A69" t="s">
        <v>147</v>
      </c>
      <c r="B69" t="s">
        <v>148</v>
      </c>
      <c r="C69" t="s">
        <v>19</v>
      </c>
      <c r="D69">
        <v>12</v>
      </c>
      <c r="E69" t="s">
        <v>11</v>
      </c>
      <c r="F69">
        <v>269</v>
      </c>
      <c r="G69">
        <v>1177620.45</v>
      </c>
      <c r="H69">
        <v>316779901.05000001</v>
      </c>
    </row>
    <row r="70" spans="1:8" x14ac:dyDescent="0.25">
      <c r="A70" t="s">
        <v>149</v>
      </c>
      <c r="B70" t="s">
        <v>150</v>
      </c>
      <c r="C70" t="s">
        <v>10</v>
      </c>
      <c r="D70">
        <v>17</v>
      </c>
      <c r="E70" t="s">
        <v>11</v>
      </c>
      <c r="F70">
        <v>162</v>
      </c>
      <c r="G70">
        <v>323534.17</v>
      </c>
      <c r="H70">
        <v>52412535.539999999</v>
      </c>
    </row>
    <row r="71" spans="1:8" x14ac:dyDescent="0.25">
      <c r="A71" t="s">
        <v>151</v>
      </c>
      <c r="B71" t="s">
        <v>152</v>
      </c>
      <c r="C71" t="s">
        <v>10</v>
      </c>
      <c r="D71">
        <v>7</v>
      </c>
      <c r="E71" t="s">
        <v>11</v>
      </c>
      <c r="F71">
        <v>201</v>
      </c>
      <c r="G71">
        <v>1501522.64</v>
      </c>
      <c r="H71">
        <v>301806050.63999999</v>
      </c>
    </row>
    <row r="72" spans="1:8" x14ac:dyDescent="0.25">
      <c r="A72" t="s">
        <v>153</v>
      </c>
      <c r="B72" t="s">
        <v>154</v>
      </c>
      <c r="C72" t="s">
        <v>14</v>
      </c>
      <c r="D72">
        <v>20</v>
      </c>
      <c r="E72" t="s">
        <v>11</v>
      </c>
      <c r="F72">
        <v>278</v>
      </c>
      <c r="G72">
        <v>766408.86</v>
      </c>
      <c r="H72">
        <v>213061663.08000001</v>
      </c>
    </row>
    <row r="73" spans="1:8" x14ac:dyDescent="0.25">
      <c r="A73" t="s">
        <v>155</v>
      </c>
      <c r="B73" t="s">
        <v>156</v>
      </c>
      <c r="C73" t="s">
        <v>10</v>
      </c>
      <c r="D73">
        <v>14</v>
      </c>
      <c r="E73" t="s">
        <v>11</v>
      </c>
      <c r="F73">
        <v>189</v>
      </c>
      <c r="G73">
        <v>1057739.3500000001</v>
      </c>
      <c r="H73">
        <v>199912737.15000001</v>
      </c>
    </row>
    <row r="74" spans="1:8" x14ac:dyDescent="0.25">
      <c r="A74" t="s">
        <v>157</v>
      </c>
      <c r="B74" t="s">
        <v>158</v>
      </c>
      <c r="C74" t="s">
        <v>19</v>
      </c>
      <c r="D74">
        <v>12</v>
      </c>
      <c r="E74" t="s">
        <v>11</v>
      </c>
      <c r="F74">
        <v>233</v>
      </c>
      <c r="G74">
        <v>658403.68000000005</v>
      </c>
      <c r="H74">
        <v>153408057.44</v>
      </c>
    </row>
    <row r="75" spans="1:8" x14ac:dyDescent="0.25">
      <c r="A75" t="s">
        <v>159</v>
      </c>
      <c r="B75" t="s">
        <v>160</v>
      </c>
      <c r="C75" t="s">
        <v>19</v>
      </c>
      <c r="D75">
        <v>12</v>
      </c>
      <c r="E75" t="s">
        <v>11</v>
      </c>
      <c r="F75">
        <v>340</v>
      </c>
      <c r="G75">
        <v>1633025.2</v>
      </c>
      <c r="H75">
        <v>555228568</v>
      </c>
    </row>
    <row r="76" spans="1:8" x14ac:dyDescent="0.25">
      <c r="A76" t="s">
        <v>161</v>
      </c>
      <c r="B76" t="s">
        <v>162</v>
      </c>
      <c r="C76" t="s">
        <v>26</v>
      </c>
      <c r="D76">
        <v>11</v>
      </c>
      <c r="E76" t="s">
        <v>11</v>
      </c>
      <c r="F76">
        <v>257</v>
      </c>
      <c r="G76">
        <v>2105260.4900000002</v>
      </c>
      <c r="H76">
        <v>541051945.92999995</v>
      </c>
    </row>
    <row r="77" spans="1:8" x14ac:dyDescent="0.25">
      <c r="A77" t="s">
        <v>163</v>
      </c>
      <c r="B77" t="s">
        <v>164</v>
      </c>
      <c r="C77" t="s">
        <v>26</v>
      </c>
      <c r="D77">
        <v>4</v>
      </c>
      <c r="E77" t="s">
        <v>11</v>
      </c>
      <c r="F77">
        <v>192</v>
      </c>
      <c r="G77">
        <v>1776053.98</v>
      </c>
      <c r="H77">
        <v>341002364.16000003</v>
      </c>
    </row>
    <row r="78" spans="1:8" x14ac:dyDescent="0.25">
      <c r="A78" t="s">
        <v>165</v>
      </c>
      <c r="B78" t="s">
        <v>166</v>
      </c>
      <c r="C78" t="s">
        <v>26</v>
      </c>
      <c r="D78">
        <v>24</v>
      </c>
      <c r="E78" t="s">
        <v>11</v>
      </c>
      <c r="F78">
        <v>149</v>
      </c>
      <c r="G78">
        <v>2503747.63</v>
      </c>
      <c r="H78">
        <v>373058396.87</v>
      </c>
    </row>
    <row r="79" spans="1:8" x14ac:dyDescent="0.25">
      <c r="A79" t="s">
        <v>167</v>
      </c>
      <c r="B79" t="s">
        <v>168</v>
      </c>
      <c r="C79" t="s">
        <v>19</v>
      </c>
      <c r="D79">
        <v>9</v>
      </c>
      <c r="E79" t="s">
        <v>11</v>
      </c>
      <c r="F79">
        <v>47</v>
      </c>
      <c r="G79">
        <v>204684.97</v>
      </c>
      <c r="H79">
        <v>9620193.5899999999</v>
      </c>
    </row>
    <row r="80" spans="1:8" x14ac:dyDescent="0.25">
      <c r="A80" t="s">
        <v>169</v>
      </c>
      <c r="B80" t="s">
        <v>170</v>
      </c>
      <c r="C80" t="s">
        <v>26</v>
      </c>
      <c r="D80">
        <v>9</v>
      </c>
      <c r="E80" t="s">
        <v>11</v>
      </c>
      <c r="F80">
        <v>260</v>
      </c>
      <c r="G80">
        <v>1561722.7</v>
      </c>
      <c r="H80">
        <v>406047902</v>
      </c>
    </row>
    <row r="81" spans="1:8" x14ac:dyDescent="0.25">
      <c r="A81" t="s">
        <v>171</v>
      </c>
      <c r="B81" t="s">
        <v>172</v>
      </c>
      <c r="C81" t="s">
        <v>14</v>
      </c>
      <c r="D81">
        <v>11</v>
      </c>
      <c r="E81" t="s">
        <v>11</v>
      </c>
      <c r="F81">
        <v>137</v>
      </c>
      <c r="G81">
        <v>643930.57999999996</v>
      </c>
      <c r="H81">
        <v>88218489.459999993</v>
      </c>
    </row>
    <row r="82" spans="1:8" x14ac:dyDescent="0.25">
      <c r="A82" t="s">
        <v>173</v>
      </c>
      <c r="B82" t="s">
        <v>174</v>
      </c>
      <c r="C82" t="s">
        <v>19</v>
      </c>
      <c r="D82">
        <v>8</v>
      </c>
      <c r="E82" t="s">
        <v>11</v>
      </c>
      <c r="F82">
        <v>291</v>
      </c>
      <c r="G82">
        <v>1348461.28</v>
      </c>
      <c r="H82">
        <v>392402232.48000002</v>
      </c>
    </row>
    <row r="83" spans="1:8" x14ac:dyDescent="0.25">
      <c r="A83" t="s">
        <v>175</v>
      </c>
      <c r="B83" t="s">
        <v>176</v>
      </c>
      <c r="C83" t="s">
        <v>14</v>
      </c>
      <c r="D83">
        <v>9</v>
      </c>
      <c r="E83" t="s">
        <v>11</v>
      </c>
      <c r="F83">
        <v>34</v>
      </c>
      <c r="G83">
        <v>993181.27</v>
      </c>
      <c r="H83">
        <v>33768163.18</v>
      </c>
    </row>
    <row r="84" spans="1:8" x14ac:dyDescent="0.25">
      <c r="A84" t="s">
        <v>177</v>
      </c>
      <c r="B84" t="s">
        <v>178</v>
      </c>
      <c r="C84" t="s">
        <v>14</v>
      </c>
      <c r="D84">
        <v>13</v>
      </c>
      <c r="E84" t="s">
        <v>11</v>
      </c>
      <c r="F84">
        <v>114</v>
      </c>
      <c r="G84">
        <v>473518.55</v>
      </c>
      <c r="H84">
        <v>53981114.700000003</v>
      </c>
    </row>
    <row r="85" spans="1:8" x14ac:dyDescent="0.25">
      <c r="A85" t="s">
        <v>179</v>
      </c>
      <c r="B85" t="s">
        <v>180</v>
      </c>
      <c r="C85" t="s">
        <v>19</v>
      </c>
      <c r="D85">
        <v>12</v>
      </c>
      <c r="E85" t="s">
        <v>11</v>
      </c>
      <c r="F85">
        <v>41</v>
      </c>
      <c r="G85">
        <v>1968618.89</v>
      </c>
      <c r="H85">
        <v>80713374.489999995</v>
      </c>
    </row>
    <row r="86" spans="1:8" x14ac:dyDescent="0.25">
      <c r="A86" t="s">
        <v>181</v>
      </c>
      <c r="B86" t="s">
        <v>182</v>
      </c>
      <c r="C86" t="s">
        <v>14</v>
      </c>
      <c r="D86">
        <v>14</v>
      </c>
      <c r="E86" t="s">
        <v>11</v>
      </c>
      <c r="F86">
        <v>312</v>
      </c>
      <c r="G86">
        <v>953921.34</v>
      </c>
      <c r="H86">
        <v>297623458.07999998</v>
      </c>
    </row>
    <row r="87" spans="1:8" x14ac:dyDescent="0.25">
      <c r="A87" t="s">
        <v>183</v>
      </c>
      <c r="B87" t="s">
        <v>184</v>
      </c>
      <c r="C87" t="s">
        <v>19</v>
      </c>
      <c r="D87">
        <v>3</v>
      </c>
      <c r="E87" t="s">
        <v>11</v>
      </c>
      <c r="F87">
        <v>144</v>
      </c>
      <c r="G87">
        <v>99539.67</v>
      </c>
      <c r="H87">
        <v>14333712.48</v>
      </c>
    </row>
    <row r="88" spans="1:8" x14ac:dyDescent="0.25">
      <c r="A88" t="s">
        <v>185</v>
      </c>
      <c r="B88" t="s">
        <v>186</v>
      </c>
      <c r="C88" t="s">
        <v>26</v>
      </c>
      <c r="D88">
        <v>11</v>
      </c>
      <c r="E88" t="s">
        <v>11</v>
      </c>
      <c r="F88">
        <v>255</v>
      </c>
      <c r="G88">
        <v>1635183.68</v>
      </c>
      <c r="H88">
        <v>416971838.39999998</v>
      </c>
    </row>
    <row r="89" spans="1:8" x14ac:dyDescent="0.25">
      <c r="A89" t="s">
        <v>187</v>
      </c>
      <c r="B89" t="s">
        <v>188</v>
      </c>
      <c r="C89" t="s">
        <v>19</v>
      </c>
      <c r="D89">
        <v>17</v>
      </c>
      <c r="E89" t="s">
        <v>11</v>
      </c>
      <c r="F89">
        <v>193</v>
      </c>
      <c r="G89">
        <v>630842.13</v>
      </c>
      <c r="H89">
        <v>121752531.09</v>
      </c>
    </row>
    <row r="90" spans="1:8" x14ac:dyDescent="0.25">
      <c r="A90" t="s">
        <v>189</v>
      </c>
      <c r="B90" t="s">
        <v>190</v>
      </c>
      <c r="C90" t="s">
        <v>10</v>
      </c>
      <c r="D90">
        <v>11</v>
      </c>
      <c r="E90" t="s">
        <v>11</v>
      </c>
      <c r="F90">
        <v>271</v>
      </c>
      <c r="G90">
        <v>983900.48</v>
      </c>
      <c r="H90">
        <v>266637030.08000001</v>
      </c>
    </row>
    <row r="91" spans="1:8" x14ac:dyDescent="0.25">
      <c r="A91" t="s">
        <v>191</v>
      </c>
      <c r="B91" t="s">
        <v>192</v>
      </c>
      <c r="C91" t="s">
        <v>26</v>
      </c>
      <c r="D91">
        <v>5</v>
      </c>
      <c r="E91" t="s">
        <v>11</v>
      </c>
      <c r="F91">
        <v>198</v>
      </c>
      <c r="G91">
        <v>3548261.39</v>
      </c>
      <c r="H91">
        <v>702555755.22000003</v>
      </c>
    </row>
    <row r="92" spans="1:8" x14ac:dyDescent="0.25">
      <c r="A92" t="s">
        <v>193</v>
      </c>
      <c r="B92" t="s">
        <v>194</v>
      </c>
      <c r="C92" t="s">
        <v>14</v>
      </c>
      <c r="D92">
        <v>25</v>
      </c>
      <c r="E92" t="s">
        <v>11</v>
      </c>
      <c r="F92">
        <v>224</v>
      </c>
      <c r="G92">
        <v>323999.5</v>
      </c>
      <c r="H92">
        <v>72575888</v>
      </c>
    </row>
    <row r="93" spans="1:8" x14ac:dyDescent="0.25">
      <c r="A93" t="s">
        <v>195</v>
      </c>
      <c r="B93" t="s">
        <v>196</v>
      </c>
      <c r="C93" t="s">
        <v>14</v>
      </c>
      <c r="D93">
        <v>5</v>
      </c>
      <c r="E93" t="s">
        <v>11</v>
      </c>
      <c r="F93">
        <v>218</v>
      </c>
      <c r="G93">
        <v>308492.39</v>
      </c>
      <c r="H93">
        <v>67251341.019999996</v>
      </c>
    </row>
    <row r="94" spans="1:8" x14ac:dyDescent="0.25">
      <c r="A94" t="s">
        <v>197</v>
      </c>
      <c r="B94" t="s">
        <v>198</v>
      </c>
      <c r="C94" t="s">
        <v>10</v>
      </c>
      <c r="D94">
        <v>12</v>
      </c>
      <c r="E94" t="s">
        <v>11</v>
      </c>
      <c r="F94">
        <v>259</v>
      </c>
      <c r="G94">
        <v>234814.29</v>
      </c>
      <c r="H94">
        <v>60816901.109999999</v>
      </c>
    </row>
    <row r="95" spans="1:8" x14ac:dyDescent="0.25">
      <c r="A95" t="s">
        <v>199</v>
      </c>
      <c r="B95" t="s">
        <v>200</v>
      </c>
      <c r="C95" t="s">
        <v>26</v>
      </c>
      <c r="D95">
        <v>8</v>
      </c>
      <c r="E95" t="s">
        <v>11</v>
      </c>
      <c r="F95">
        <v>59</v>
      </c>
      <c r="G95">
        <v>384149.04</v>
      </c>
      <c r="H95">
        <v>22664793.359999999</v>
      </c>
    </row>
    <row r="96" spans="1:8" x14ac:dyDescent="0.25">
      <c r="A96" t="s">
        <v>201</v>
      </c>
      <c r="B96" t="s">
        <v>202</v>
      </c>
      <c r="C96" t="s">
        <v>14</v>
      </c>
      <c r="D96">
        <v>12</v>
      </c>
      <c r="E96" t="s">
        <v>11</v>
      </c>
      <c r="F96">
        <v>92</v>
      </c>
      <c r="G96">
        <v>722965.99</v>
      </c>
      <c r="H96">
        <v>66512871.079999998</v>
      </c>
    </row>
    <row r="97" spans="1:8" x14ac:dyDescent="0.25">
      <c r="A97" t="s">
        <v>203</v>
      </c>
      <c r="B97" t="s">
        <v>204</v>
      </c>
      <c r="C97" t="s">
        <v>10</v>
      </c>
      <c r="D97">
        <v>24</v>
      </c>
      <c r="E97" t="s">
        <v>11</v>
      </c>
      <c r="F97">
        <v>201</v>
      </c>
      <c r="G97">
        <v>1276383.45</v>
      </c>
      <c r="H97">
        <v>256553073.44999999</v>
      </c>
    </row>
    <row r="98" spans="1:8" x14ac:dyDescent="0.25">
      <c r="A98" t="s">
        <v>205</v>
      </c>
      <c r="B98" t="s">
        <v>206</v>
      </c>
      <c r="C98" t="s">
        <v>26</v>
      </c>
      <c r="D98">
        <v>9</v>
      </c>
      <c r="E98" t="s">
        <v>11</v>
      </c>
      <c r="F98">
        <v>305</v>
      </c>
      <c r="G98">
        <v>953938.9</v>
      </c>
      <c r="H98">
        <v>290951364.5</v>
      </c>
    </row>
    <row r="99" spans="1:8" x14ac:dyDescent="0.25">
      <c r="A99" t="s">
        <v>207</v>
      </c>
      <c r="B99" t="s">
        <v>208</v>
      </c>
      <c r="C99" t="s">
        <v>14</v>
      </c>
      <c r="D99">
        <v>24</v>
      </c>
      <c r="E99" t="s">
        <v>11</v>
      </c>
      <c r="F99">
        <v>372</v>
      </c>
      <c r="G99">
        <v>555948.56999999995</v>
      </c>
      <c r="H99">
        <v>206812868.03999999</v>
      </c>
    </row>
    <row r="100" spans="1:8" x14ac:dyDescent="0.25">
      <c r="A100" t="s">
        <v>209</v>
      </c>
      <c r="B100" t="s">
        <v>210</v>
      </c>
      <c r="C100" t="s">
        <v>10</v>
      </c>
      <c r="D100">
        <v>19</v>
      </c>
      <c r="E100" t="s">
        <v>11</v>
      </c>
      <c r="F100">
        <v>125</v>
      </c>
      <c r="G100">
        <v>930094.01</v>
      </c>
      <c r="H100">
        <v>116261751.25</v>
      </c>
    </row>
    <row r="101" spans="1:8" x14ac:dyDescent="0.25">
      <c r="A101" t="s">
        <v>211</v>
      </c>
      <c r="B101" t="s">
        <v>212</v>
      </c>
      <c r="C101" t="s">
        <v>10</v>
      </c>
      <c r="D101">
        <v>24</v>
      </c>
      <c r="E101" t="s">
        <v>11</v>
      </c>
      <c r="F101">
        <v>287</v>
      </c>
      <c r="G101">
        <v>1414273.48</v>
      </c>
      <c r="H101">
        <v>405896488.75999999</v>
      </c>
    </row>
    <row r="102" spans="1:8" x14ac:dyDescent="0.25">
      <c r="A102" t="s">
        <v>213</v>
      </c>
      <c r="B102" t="s">
        <v>214</v>
      </c>
      <c r="C102" t="s">
        <v>14</v>
      </c>
      <c r="D102">
        <v>21</v>
      </c>
      <c r="E102" t="s">
        <v>11</v>
      </c>
      <c r="F102">
        <v>26</v>
      </c>
      <c r="G102">
        <v>1162490.58</v>
      </c>
      <c r="H102">
        <v>30224755.079999998</v>
      </c>
    </row>
    <row r="103" spans="1:8" x14ac:dyDescent="0.25">
      <c r="A103" t="s">
        <v>215</v>
      </c>
      <c r="B103" t="s">
        <v>216</v>
      </c>
      <c r="C103" t="s">
        <v>19</v>
      </c>
      <c r="D103">
        <v>8</v>
      </c>
      <c r="E103" t="s">
        <v>11</v>
      </c>
      <c r="F103">
        <v>146</v>
      </c>
      <c r="G103">
        <v>1193283.97</v>
      </c>
      <c r="H103">
        <v>174219459.62</v>
      </c>
    </row>
    <row r="104" spans="1:8" x14ac:dyDescent="0.25">
      <c r="A104" t="s">
        <v>217</v>
      </c>
      <c r="B104" t="s">
        <v>218</v>
      </c>
      <c r="C104" t="s">
        <v>26</v>
      </c>
      <c r="D104">
        <v>15</v>
      </c>
      <c r="E104" t="s">
        <v>11</v>
      </c>
      <c r="F104">
        <v>318</v>
      </c>
      <c r="G104">
        <v>1345352.69</v>
      </c>
      <c r="H104">
        <v>427822155.42000002</v>
      </c>
    </row>
    <row r="105" spans="1:8" x14ac:dyDescent="0.25">
      <c r="A105" t="s">
        <v>219</v>
      </c>
      <c r="B105" t="s">
        <v>220</v>
      </c>
      <c r="C105" t="s">
        <v>19</v>
      </c>
      <c r="D105">
        <v>14</v>
      </c>
      <c r="E105" t="s">
        <v>11</v>
      </c>
      <c r="F105">
        <v>292</v>
      </c>
      <c r="G105">
        <v>1884668.04</v>
      </c>
      <c r="H105">
        <v>550323067.67999995</v>
      </c>
    </row>
    <row r="106" spans="1:8" x14ac:dyDescent="0.25">
      <c r="A106" t="s">
        <v>221</v>
      </c>
      <c r="B106" t="s">
        <v>222</v>
      </c>
      <c r="C106" t="s">
        <v>26</v>
      </c>
      <c r="D106">
        <v>13</v>
      </c>
      <c r="E106" t="s">
        <v>11</v>
      </c>
      <c r="F106">
        <v>258</v>
      </c>
      <c r="G106">
        <v>1901110.01</v>
      </c>
      <c r="H106">
        <v>490486382.57999998</v>
      </c>
    </row>
    <row r="107" spans="1:8" x14ac:dyDescent="0.25">
      <c r="A107" t="s">
        <v>223</v>
      </c>
      <c r="B107" t="s">
        <v>224</v>
      </c>
      <c r="C107" t="s">
        <v>26</v>
      </c>
      <c r="D107">
        <v>9</v>
      </c>
      <c r="E107" t="s">
        <v>11</v>
      </c>
      <c r="F107">
        <v>71</v>
      </c>
      <c r="G107">
        <v>2677062.59</v>
      </c>
      <c r="H107">
        <v>190071443.88999999</v>
      </c>
    </row>
    <row r="108" spans="1:8" x14ac:dyDescent="0.25">
      <c r="A108" t="s">
        <v>225</v>
      </c>
      <c r="B108" t="s">
        <v>226</v>
      </c>
      <c r="C108" t="s">
        <v>26</v>
      </c>
      <c r="D108">
        <v>21</v>
      </c>
      <c r="E108" t="s">
        <v>11</v>
      </c>
      <c r="F108">
        <v>321</v>
      </c>
      <c r="G108">
        <v>1643872.07</v>
      </c>
      <c r="H108">
        <v>527682934.47000003</v>
      </c>
    </row>
    <row r="109" spans="1:8" x14ac:dyDescent="0.25">
      <c r="A109" t="s">
        <v>227</v>
      </c>
      <c r="B109" t="s">
        <v>228</v>
      </c>
      <c r="C109" t="s">
        <v>14</v>
      </c>
      <c r="D109">
        <v>7</v>
      </c>
      <c r="E109" t="s">
        <v>11</v>
      </c>
      <c r="F109">
        <v>37</v>
      </c>
      <c r="G109">
        <v>743406.4</v>
      </c>
      <c r="H109">
        <v>27506036.800000001</v>
      </c>
    </row>
    <row r="110" spans="1:8" x14ac:dyDescent="0.25">
      <c r="A110" t="s">
        <v>229</v>
      </c>
      <c r="B110" t="s">
        <v>230</v>
      </c>
      <c r="C110" t="s">
        <v>14</v>
      </c>
      <c r="D110">
        <v>21</v>
      </c>
      <c r="E110" t="s">
        <v>11</v>
      </c>
      <c r="F110">
        <v>247</v>
      </c>
      <c r="G110">
        <v>655494.99</v>
      </c>
      <c r="H110">
        <v>161907262.53</v>
      </c>
    </row>
    <row r="111" spans="1:8" x14ac:dyDescent="0.25">
      <c r="A111" t="s">
        <v>231</v>
      </c>
      <c r="B111" t="s">
        <v>232</v>
      </c>
      <c r="C111" t="s">
        <v>10</v>
      </c>
      <c r="D111">
        <v>23</v>
      </c>
      <c r="E111" t="s">
        <v>11</v>
      </c>
      <c r="F111">
        <v>326</v>
      </c>
      <c r="G111">
        <v>299182.26</v>
      </c>
      <c r="H111">
        <v>97533416.760000005</v>
      </c>
    </row>
    <row r="112" spans="1:8" x14ac:dyDescent="0.25">
      <c r="A112" t="s">
        <v>233</v>
      </c>
      <c r="B112" t="s">
        <v>234</v>
      </c>
      <c r="C112" t="s">
        <v>26</v>
      </c>
      <c r="D112">
        <v>12</v>
      </c>
      <c r="E112" t="s">
        <v>11</v>
      </c>
      <c r="F112">
        <v>333</v>
      </c>
      <c r="G112">
        <v>3138609.6</v>
      </c>
      <c r="H112">
        <v>1045156996.8</v>
      </c>
    </row>
    <row r="113" spans="1:8" x14ac:dyDescent="0.25">
      <c r="A113" t="s">
        <v>235</v>
      </c>
      <c r="B113" t="s">
        <v>236</v>
      </c>
      <c r="C113" t="s">
        <v>10</v>
      </c>
      <c r="D113">
        <v>19</v>
      </c>
      <c r="E113" t="s">
        <v>11</v>
      </c>
      <c r="F113">
        <v>367</v>
      </c>
      <c r="G113">
        <v>1392013.95</v>
      </c>
      <c r="H113">
        <v>510869119.64999998</v>
      </c>
    </row>
    <row r="114" spans="1:8" x14ac:dyDescent="0.25">
      <c r="A114" t="s">
        <v>237</v>
      </c>
      <c r="B114" t="s">
        <v>238</v>
      </c>
      <c r="C114" t="s">
        <v>10</v>
      </c>
      <c r="D114">
        <v>9</v>
      </c>
      <c r="E114" t="s">
        <v>11</v>
      </c>
      <c r="F114">
        <v>104</v>
      </c>
      <c r="G114">
        <v>1403501.61</v>
      </c>
      <c r="H114">
        <v>145964167.44</v>
      </c>
    </row>
    <row r="115" spans="1:8" x14ac:dyDescent="0.25">
      <c r="A115" t="s">
        <v>239</v>
      </c>
      <c r="B115" t="s">
        <v>240</v>
      </c>
      <c r="C115" t="s">
        <v>10</v>
      </c>
      <c r="D115">
        <v>18</v>
      </c>
      <c r="E115" t="s">
        <v>11</v>
      </c>
      <c r="F115">
        <v>280</v>
      </c>
      <c r="G115">
        <v>855655.57</v>
      </c>
      <c r="H115">
        <v>239583559.59999999</v>
      </c>
    </row>
    <row r="116" spans="1:8" x14ac:dyDescent="0.25">
      <c r="A116" t="s">
        <v>241</v>
      </c>
      <c r="B116" t="s">
        <v>242</v>
      </c>
      <c r="C116" t="s">
        <v>14</v>
      </c>
      <c r="D116">
        <v>11</v>
      </c>
      <c r="E116" t="s">
        <v>11</v>
      </c>
      <c r="F116">
        <v>275</v>
      </c>
      <c r="G116">
        <v>1075340.23</v>
      </c>
      <c r="H116">
        <v>295718563.25</v>
      </c>
    </row>
    <row r="117" spans="1:8" x14ac:dyDescent="0.25">
      <c r="A117" t="s">
        <v>243</v>
      </c>
      <c r="B117" t="s">
        <v>244</v>
      </c>
      <c r="C117" t="s">
        <v>14</v>
      </c>
      <c r="D117">
        <v>3</v>
      </c>
      <c r="E117" t="s">
        <v>11</v>
      </c>
      <c r="F117">
        <v>203</v>
      </c>
      <c r="G117">
        <v>380074.63</v>
      </c>
      <c r="H117">
        <v>77155149.890000001</v>
      </c>
    </row>
    <row r="118" spans="1:8" x14ac:dyDescent="0.25">
      <c r="A118" t="s">
        <v>245</v>
      </c>
      <c r="B118" t="s">
        <v>246</v>
      </c>
      <c r="C118" t="s">
        <v>10</v>
      </c>
      <c r="D118">
        <v>19</v>
      </c>
      <c r="E118" t="s">
        <v>11</v>
      </c>
      <c r="F118">
        <v>46</v>
      </c>
      <c r="G118">
        <v>1004779.23</v>
      </c>
      <c r="H118">
        <v>46219844.579999998</v>
      </c>
    </row>
    <row r="119" spans="1:8" x14ac:dyDescent="0.25">
      <c r="A119" t="s">
        <v>247</v>
      </c>
      <c r="B119" t="s">
        <v>248</v>
      </c>
      <c r="C119" t="s">
        <v>14</v>
      </c>
      <c r="D119">
        <v>12</v>
      </c>
      <c r="E119" t="s">
        <v>11</v>
      </c>
      <c r="F119">
        <v>131</v>
      </c>
      <c r="G119">
        <v>422566.31</v>
      </c>
      <c r="H119">
        <v>55356186.609999999</v>
      </c>
    </row>
    <row r="120" spans="1:8" x14ac:dyDescent="0.25">
      <c r="A120" t="s">
        <v>249</v>
      </c>
      <c r="B120" t="s">
        <v>250</v>
      </c>
      <c r="C120" t="s">
        <v>14</v>
      </c>
      <c r="D120">
        <v>12</v>
      </c>
      <c r="E120" t="s">
        <v>11</v>
      </c>
      <c r="F120">
        <v>115</v>
      </c>
      <c r="G120">
        <v>615433.78</v>
      </c>
      <c r="H120">
        <v>70774884.700000003</v>
      </c>
    </row>
    <row r="121" spans="1:8" x14ac:dyDescent="0.25">
      <c r="A121" t="s">
        <v>251</v>
      </c>
      <c r="B121" t="s">
        <v>252</v>
      </c>
      <c r="C121" t="s">
        <v>14</v>
      </c>
      <c r="D121">
        <v>24</v>
      </c>
      <c r="E121" t="s">
        <v>11</v>
      </c>
      <c r="F121">
        <v>221</v>
      </c>
      <c r="G121">
        <v>373244.96</v>
      </c>
      <c r="H121">
        <v>82487136.159999996</v>
      </c>
    </row>
    <row r="122" spans="1:8" x14ac:dyDescent="0.25">
      <c r="A122" t="s">
        <v>253</v>
      </c>
      <c r="B122" t="s">
        <v>254</v>
      </c>
      <c r="C122" t="s">
        <v>19</v>
      </c>
      <c r="D122">
        <v>17</v>
      </c>
      <c r="E122" t="s">
        <v>11</v>
      </c>
      <c r="F122">
        <v>177</v>
      </c>
      <c r="G122">
        <v>1059200.6000000001</v>
      </c>
      <c r="H122">
        <v>187478506.19999999</v>
      </c>
    </row>
    <row r="123" spans="1:8" x14ac:dyDescent="0.25">
      <c r="A123" t="s">
        <v>255</v>
      </c>
      <c r="B123" t="s">
        <v>256</v>
      </c>
      <c r="C123" t="s">
        <v>19</v>
      </c>
      <c r="D123">
        <v>12</v>
      </c>
      <c r="E123" t="s">
        <v>11</v>
      </c>
      <c r="F123">
        <v>192</v>
      </c>
      <c r="G123">
        <v>838743.09</v>
      </c>
      <c r="H123">
        <v>161038673.28</v>
      </c>
    </row>
    <row r="124" spans="1:8" x14ac:dyDescent="0.25">
      <c r="A124" t="s">
        <v>257</v>
      </c>
      <c r="B124" t="s">
        <v>258</v>
      </c>
      <c r="C124" t="s">
        <v>10</v>
      </c>
      <c r="D124">
        <v>19</v>
      </c>
      <c r="E124" t="s">
        <v>11</v>
      </c>
      <c r="F124">
        <v>26</v>
      </c>
      <c r="G124">
        <v>1288057.32</v>
      </c>
      <c r="H124">
        <v>33489490.32</v>
      </c>
    </row>
    <row r="125" spans="1:8" x14ac:dyDescent="0.25">
      <c r="A125" t="s">
        <v>259</v>
      </c>
      <c r="B125" t="s">
        <v>260</v>
      </c>
      <c r="C125" t="s">
        <v>10</v>
      </c>
      <c r="D125">
        <v>25</v>
      </c>
      <c r="E125" t="s">
        <v>11</v>
      </c>
      <c r="F125">
        <v>219</v>
      </c>
      <c r="G125">
        <v>1075552.32</v>
      </c>
      <c r="H125">
        <v>235545958.08000001</v>
      </c>
    </row>
    <row r="126" spans="1:8" x14ac:dyDescent="0.25">
      <c r="A126" t="s">
        <v>261</v>
      </c>
      <c r="B126" t="s">
        <v>262</v>
      </c>
      <c r="C126" t="s">
        <v>10</v>
      </c>
      <c r="D126">
        <v>5</v>
      </c>
      <c r="E126" t="s">
        <v>11</v>
      </c>
      <c r="F126">
        <v>146</v>
      </c>
      <c r="G126">
        <v>1536084.53</v>
      </c>
      <c r="H126">
        <v>224268341.38</v>
      </c>
    </row>
    <row r="127" spans="1:8" x14ac:dyDescent="0.25">
      <c r="A127" t="s">
        <v>263</v>
      </c>
      <c r="B127" t="s">
        <v>264</v>
      </c>
      <c r="C127" t="s">
        <v>14</v>
      </c>
      <c r="D127">
        <v>3</v>
      </c>
      <c r="E127" t="s">
        <v>11</v>
      </c>
      <c r="F127">
        <v>116</v>
      </c>
      <c r="G127">
        <v>900348.79</v>
      </c>
      <c r="H127">
        <v>104440459.64</v>
      </c>
    </row>
    <row r="128" spans="1:8" x14ac:dyDescent="0.25">
      <c r="A128" t="s">
        <v>265</v>
      </c>
      <c r="B128" t="s">
        <v>266</v>
      </c>
      <c r="C128" t="s">
        <v>14</v>
      </c>
      <c r="D128">
        <v>15</v>
      </c>
      <c r="E128" t="s">
        <v>11</v>
      </c>
      <c r="F128">
        <v>248</v>
      </c>
      <c r="G128">
        <v>694747.73</v>
      </c>
      <c r="H128">
        <v>172297437.03999999</v>
      </c>
    </row>
    <row r="129" spans="1:8" x14ac:dyDescent="0.25">
      <c r="A129" t="s">
        <v>267</v>
      </c>
      <c r="B129" t="s">
        <v>268</v>
      </c>
      <c r="C129" t="s">
        <v>14</v>
      </c>
      <c r="D129">
        <v>18</v>
      </c>
      <c r="E129" t="s">
        <v>11</v>
      </c>
      <c r="F129">
        <v>343</v>
      </c>
      <c r="G129">
        <v>600709.55000000005</v>
      </c>
      <c r="H129">
        <v>206043375.65000001</v>
      </c>
    </row>
    <row r="130" spans="1:8" x14ac:dyDescent="0.25">
      <c r="A130" t="s">
        <v>269</v>
      </c>
      <c r="B130" t="s">
        <v>270</v>
      </c>
      <c r="C130" t="s">
        <v>26</v>
      </c>
      <c r="D130">
        <v>9</v>
      </c>
      <c r="E130" t="s">
        <v>11</v>
      </c>
      <c r="F130">
        <v>149</v>
      </c>
      <c r="G130">
        <v>3863915.33</v>
      </c>
      <c r="H130">
        <v>575723384.16999996</v>
      </c>
    </row>
    <row r="131" spans="1:8" x14ac:dyDescent="0.25">
      <c r="A131" t="s">
        <v>271</v>
      </c>
      <c r="B131" t="s">
        <v>272</v>
      </c>
      <c r="C131" t="s">
        <v>19</v>
      </c>
      <c r="D131">
        <v>7</v>
      </c>
      <c r="E131" t="s">
        <v>11</v>
      </c>
      <c r="F131">
        <v>80</v>
      </c>
      <c r="G131">
        <v>931820.14</v>
      </c>
      <c r="H131">
        <v>74545611.200000003</v>
      </c>
    </row>
    <row r="132" spans="1:8" x14ac:dyDescent="0.25">
      <c r="A132" t="s">
        <v>273</v>
      </c>
      <c r="B132" t="s">
        <v>274</v>
      </c>
      <c r="C132" t="s">
        <v>10</v>
      </c>
      <c r="D132">
        <v>21</v>
      </c>
      <c r="E132" t="s">
        <v>11</v>
      </c>
      <c r="F132">
        <v>355</v>
      </c>
      <c r="G132">
        <v>1198686.98</v>
      </c>
      <c r="H132">
        <v>425533877.89999998</v>
      </c>
    </row>
    <row r="133" spans="1:8" x14ac:dyDescent="0.25">
      <c r="A133" t="s">
        <v>275</v>
      </c>
      <c r="B133" t="s">
        <v>276</v>
      </c>
      <c r="C133" t="s">
        <v>10</v>
      </c>
      <c r="D133">
        <v>20</v>
      </c>
      <c r="E133" t="s">
        <v>11</v>
      </c>
      <c r="F133">
        <v>55</v>
      </c>
      <c r="G133">
        <v>379377.63</v>
      </c>
      <c r="H133">
        <v>20865769.649999999</v>
      </c>
    </row>
    <row r="134" spans="1:8" x14ac:dyDescent="0.25">
      <c r="A134" t="s">
        <v>277</v>
      </c>
      <c r="B134" t="s">
        <v>278</v>
      </c>
      <c r="C134" t="s">
        <v>10</v>
      </c>
      <c r="D134">
        <v>6</v>
      </c>
      <c r="E134" t="s">
        <v>11</v>
      </c>
      <c r="F134">
        <v>77</v>
      </c>
      <c r="G134">
        <v>1425496.76</v>
      </c>
      <c r="H134">
        <v>109763250.52</v>
      </c>
    </row>
    <row r="135" spans="1:8" x14ac:dyDescent="0.25">
      <c r="A135" t="s">
        <v>279</v>
      </c>
      <c r="B135" t="s">
        <v>280</v>
      </c>
      <c r="C135" t="s">
        <v>19</v>
      </c>
      <c r="D135">
        <v>20</v>
      </c>
      <c r="E135" t="s">
        <v>11</v>
      </c>
      <c r="F135">
        <v>273</v>
      </c>
      <c r="G135">
        <v>1932655.15</v>
      </c>
      <c r="H135">
        <v>527614855.94999999</v>
      </c>
    </row>
    <row r="136" spans="1:8" x14ac:dyDescent="0.25">
      <c r="A136" t="s">
        <v>281</v>
      </c>
      <c r="B136" t="s">
        <v>282</v>
      </c>
      <c r="C136" t="s">
        <v>19</v>
      </c>
      <c r="D136">
        <v>25</v>
      </c>
      <c r="E136" t="s">
        <v>11</v>
      </c>
      <c r="F136">
        <v>308</v>
      </c>
      <c r="G136">
        <v>1792481.74</v>
      </c>
      <c r="H136">
        <v>552084375.91999996</v>
      </c>
    </row>
    <row r="137" spans="1:8" x14ac:dyDescent="0.25">
      <c r="A137" t="s">
        <v>283</v>
      </c>
      <c r="B137" t="s">
        <v>284</v>
      </c>
      <c r="C137" t="s">
        <v>10</v>
      </c>
      <c r="D137">
        <v>4</v>
      </c>
      <c r="E137" t="s">
        <v>11</v>
      </c>
      <c r="F137">
        <v>89</v>
      </c>
      <c r="G137">
        <v>337953.21</v>
      </c>
      <c r="H137">
        <v>30077835.690000001</v>
      </c>
    </row>
    <row r="138" spans="1:8" x14ac:dyDescent="0.25">
      <c r="A138" t="s">
        <v>285</v>
      </c>
      <c r="B138" t="s">
        <v>286</v>
      </c>
      <c r="C138" t="s">
        <v>19</v>
      </c>
      <c r="D138">
        <v>20</v>
      </c>
      <c r="E138" t="s">
        <v>11</v>
      </c>
      <c r="F138">
        <v>322</v>
      </c>
      <c r="G138">
        <v>1388350.27</v>
      </c>
      <c r="H138">
        <v>447048786.94</v>
      </c>
    </row>
    <row r="139" spans="1:8" x14ac:dyDescent="0.25">
      <c r="A139" t="s">
        <v>287</v>
      </c>
      <c r="B139" t="s">
        <v>288</v>
      </c>
      <c r="C139" t="s">
        <v>10</v>
      </c>
      <c r="D139">
        <v>16</v>
      </c>
      <c r="E139" t="s">
        <v>11</v>
      </c>
      <c r="F139">
        <v>91</v>
      </c>
      <c r="G139">
        <v>648672.93999999994</v>
      </c>
      <c r="H139">
        <v>59029237.539999999</v>
      </c>
    </row>
    <row r="140" spans="1:8" x14ac:dyDescent="0.25">
      <c r="A140" t="s">
        <v>289</v>
      </c>
      <c r="B140" t="s">
        <v>290</v>
      </c>
      <c r="C140" t="s">
        <v>19</v>
      </c>
      <c r="D140">
        <v>12</v>
      </c>
      <c r="E140" t="s">
        <v>11</v>
      </c>
      <c r="F140">
        <v>336</v>
      </c>
      <c r="G140">
        <v>1674826.24</v>
      </c>
      <c r="H140">
        <v>562741616.63999999</v>
      </c>
    </row>
    <row r="141" spans="1:8" x14ac:dyDescent="0.25">
      <c r="A141" t="s">
        <v>291</v>
      </c>
      <c r="B141" t="s">
        <v>292</v>
      </c>
      <c r="C141" t="s">
        <v>26</v>
      </c>
      <c r="D141">
        <v>12</v>
      </c>
      <c r="E141" t="s">
        <v>11</v>
      </c>
      <c r="F141">
        <v>75</v>
      </c>
      <c r="G141">
        <v>1761052.62</v>
      </c>
      <c r="H141">
        <v>132078946.5</v>
      </c>
    </row>
    <row r="142" spans="1:8" x14ac:dyDescent="0.25">
      <c r="A142" t="s">
        <v>293</v>
      </c>
      <c r="B142" t="s">
        <v>294</v>
      </c>
      <c r="C142" t="s">
        <v>19</v>
      </c>
      <c r="D142">
        <v>9</v>
      </c>
      <c r="E142" t="s">
        <v>11</v>
      </c>
      <c r="F142">
        <v>244</v>
      </c>
      <c r="G142">
        <v>130801.91</v>
      </c>
      <c r="H142">
        <v>31915666.039999999</v>
      </c>
    </row>
    <row r="143" spans="1:8" x14ac:dyDescent="0.25">
      <c r="A143" t="s">
        <v>295</v>
      </c>
      <c r="B143" t="s">
        <v>296</v>
      </c>
      <c r="C143" t="s">
        <v>19</v>
      </c>
      <c r="D143">
        <v>7</v>
      </c>
      <c r="E143" t="s">
        <v>11</v>
      </c>
      <c r="F143">
        <v>269</v>
      </c>
      <c r="G143">
        <v>643555.13</v>
      </c>
      <c r="H143">
        <v>173116329.97</v>
      </c>
    </row>
    <row r="144" spans="1:8" x14ac:dyDescent="0.25">
      <c r="A144" t="s">
        <v>297</v>
      </c>
      <c r="B144" t="s">
        <v>298</v>
      </c>
      <c r="C144" t="s">
        <v>10</v>
      </c>
      <c r="D144">
        <v>25</v>
      </c>
      <c r="E144" t="s">
        <v>11</v>
      </c>
      <c r="F144">
        <v>224</v>
      </c>
      <c r="G144">
        <v>1295957.24</v>
      </c>
      <c r="H144">
        <v>290294421.75999999</v>
      </c>
    </row>
    <row r="145" spans="1:8" x14ac:dyDescent="0.25">
      <c r="A145" t="s">
        <v>299</v>
      </c>
      <c r="B145" t="s">
        <v>300</v>
      </c>
      <c r="C145" t="s">
        <v>19</v>
      </c>
      <c r="D145">
        <v>14</v>
      </c>
      <c r="E145" t="s">
        <v>11</v>
      </c>
      <c r="F145">
        <v>340</v>
      </c>
      <c r="G145">
        <v>232071.21</v>
      </c>
      <c r="H145">
        <v>78904211.400000006</v>
      </c>
    </row>
    <row r="146" spans="1:8" x14ac:dyDescent="0.25">
      <c r="A146" t="s">
        <v>301</v>
      </c>
      <c r="B146" t="s">
        <v>302</v>
      </c>
      <c r="C146" t="s">
        <v>19</v>
      </c>
      <c r="D146">
        <v>7</v>
      </c>
      <c r="E146" t="s">
        <v>11</v>
      </c>
      <c r="F146">
        <v>173</v>
      </c>
      <c r="G146">
        <v>1162734.74</v>
      </c>
      <c r="H146">
        <v>201153110.02000001</v>
      </c>
    </row>
    <row r="147" spans="1:8" x14ac:dyDescent="0.25">
      <c r="A147" t="s">
        <v>303</v>
      </c>
      <c r="B147" t="s">
        <v>304</v>
      </c>
      <c r="C147" t="s">
        <v>19</v>
      </c>
      <c r="D147">
        <v>15</v>
      </c>
      <c r="E147" t="s">
        <v>11</v>
      </c>
      <c r="F147">
        <v>102</v>
      </c>
      <c r="G147">
        <v>621070.22</v>
      </c>
      <c r="H147">
        <v>63349162.439999998</v>
      </c>
    </row>
    <row r="148" spans="1:8" x14ac:dyDescent="0.25">
      <c r="A148" t="s">
        <v>305</v>
      </c>
      <c r="B148" t="s">
        <v>306</v>
      </c>
      <c r="C148" t="s">
        <v>10</v>
      </c>
      <c r="D148">
        <v>11</v>
      </c>
      <c r="E148" t="s">
        <v>11</v>
      </c>
      <c r="F148">
        <v>21</v>
      </c>
      <c r="G148">
        <v>1283815.53</v>
      </c>
      <c r="H148">
        <v>26960126.129999999</v>
      </c>
    </row>
    <row r="149" spans="1:8" x14ac:dyDescent="0.25">
      <c r="A149" t="s">
        <v>307</v>
      </c>
      <c r="B149" t="s">
        <v>308</v>
      </c>
      <c r="C149" t="s">
        <v>14</v>
      </c>
      <c r="D149">
        <v>16</v>
      </c>
      <c r="E149" t="s">
        <v>11</v>
      </c>
      <c r="F149">
        <v>152</v>
      </c>
      <c r="G149">
        <v>1107837.77</v>
      </c>
      <c r="H149">
        <v>168391341.03999999</v>
      </c>
    </row>
    <row r="150" spans="1:8" x14ac:dyDescent="0.25">
      <c r="A150" t="s">
        <v>309</v>
      </c>
      <c r="B150" t="s">
        <v>310</v>
      </c>
      <c r="C150" t="s">
        <v>26</v>
      </c>
      <c r="D150">
        <v>13</v>
      </c>
      <c r="E150" t="s">
        <v>11</v>
      </c>
      <c r="F150">
        <v>252</v>
      </c>
      <c r="G150">
        <v>1771587.57</v>
      </c>
      <c r="H150">
        <v>446440067.63999999</v>
      </c>
    </row>
    <row r="151" spans="1:8" x14ac:dyDescent="0.25">
      <c r="A151" t="s">
        <v>311</v>
      </c>
      <c r="B151" t="s">
        <v>312</v>
      </c>
      <c r="C151" t="s">
        <v>26</v>
      </c>
      <c r="D151">
        <v>16</v>
      </c>
      <c r="E151" t="s">
        <v>11</v>
      </c>
      <c r="F151">
        <v>298</v>
      </c>
      <c r="G151">
        <v>1722528.93</v>
      </c>
      <c r="H151">
        <v>513313621.13999999</v>
      </c>
    </row>
    <row r="152" spans="1:8" x14ac:dyDescent="0.25">
      <c r="A152" t="s">
        <v>313</v>
      </c>
      <c r="B152" t="s">
        <v>314</v>
      </c>
      <c r="C152" t="s">
        <v>26</v>
      </c>
      <c r="D152">
        <v>22</v>
      </c>
      <c r="E152" t="s">
        <v>11</v>
      </c>
      <c r="F152">
        <v>263</v>
      </c>
      <c r="G152">
        <v>1420899.8</v>
      </c>
      <c r="H152">
        <v>373696647.39999998</v>
      </c>
    </row>
    <row r="153" spans="1:8" x14ac:dyDescent="0.25">
      <c r="A153" t="s">
        <v>315</v>
      </c>
      <c r="B153" t="s">
        <v>316</v>
      </c>
      <c r="C153" t="s">
        <v>26</v>
      </c>
      <c r="D153">
        <v>18</v>
      </c>
      <c r="E153" t="s">
        <v>11</v>
      </c>
      <c r="F153">
        <v>246</v>
      </c>
      <c r="G153">
        <v>1034291.39</v>
      </c>
      <c r="H153">
        <v>254435681.94</v>
      </c>
    </row>
    <row r="154" spans="1:8" x14ac:dyDescent="0.25">
      <c r="A154" t="s">
        <v>317</v>
      </c>
      <c r="B154" t="s">
        <v>318</v>
      </c>
      <c r="C154" t="s">
        <v>26</v>
      </c>
      <c r="D154">
        <v>23</v>
      </c>
      <c r="E154" t="s">
        <v>11</v>
      </c>
      <c r="F154">
        <v>74</v>
      </c>
      <c r="G154">
        <v>2004170.56</v>
      </c>
      <c r="H154">
        <v>148308621.44</v>
      </c>
    </row>
    <row r="155" spans="1:8" x14ac:dyDescent="0.25">
      <c r="A155" t="s">
        <v>319</v>
      </c>
      <c r="B155" t="s">
        <v>320</v>
      </c>
      <c r="C155" t="s">
        <v>14</v>
      </c>
      <c r="D155">
        <v>24</v>
      </c>
      <c r="E155" t="s">
        <v>11</v>
      </c>
      <c r="F155">
        <v>234</v>
      </c>
      <c r="G155">
        <v>1080986.79</v>
      </c>
      <c r="H155">
        <v>252950908.86000001</v>
      </c>
    </row>
    <row r="156" spans="1:8" x14ac:dyDescent="0.25">
      <c r="A156" t="s">
        <v>321</v>
      </c>
      <c r="B156" t="s">
        <v>322</v>
      </c>
      <c r="C156" t="s">
        <v>19</v>
      </c>
      <c r="D156">
        <v>23</v>
      </c>
      <c r="E156" t="s">
        <v>11</v>
      </c>
      <c r="F156">
        <v>176</v>
      </c>
      <c r="G156">
        <v>1705822.38</v>
      </c>
      <c r="H156">
        <v>300224738.88</v>
      </c>
    </row>
    <row r="157" spans="1:8" x14ac:dyDescent="0.25">
      <c r="A157" t="s">
        <v>323</v>
      </c>
      <c r="B157" t="s">
        <v>324</v>
      </c>
      <c r="C157" t="s">
        <v>26</v>
      </c>
      <c r="D157">
        <v>15</v>
      </c>
      <c r="E157" t="s">
        <v>11</v>
      </c>
      <c r="F157">
        <v>109</v>
      </c>
      <c r="G157">
        <v>1782077.2</v>
      </c>
      <c r="H157">
        <v>194246414.80000001</v>
      </c>
    </row>
    <row r="158" spans="1:8" x14ac:dyDescent="0.25">
      <c r="A158" t="s">
        <v>325</v>
      </c>
      <c r="B158" t="s">
        <v>326</v>
      </c>
      <c r="C158" t="s">
        <v>19</v>
      </c>
      <c r="D158">
        <v>10</v>
      </c>
      <c r="E158" t="s">
        <v>11</v>
      </c>
      <c r="F158">
        <v>121</v>
      </c>
      <c r="G158">
        <v>450729.3</v>
      </c>
      <c r="H158">
        <v>54538245.299999997</v>
      </c>
    </row>
    <row r="159" spans="1:8" x14ac:dyDescent="0.25">
      <c r="A159" t="s">
        <v>327</v>
      </c>
      <c r="B159" t="s">
        <v>328</v>
      </c>
      <c r="C159" t="s">
        <v>26</v>
      </c>
      <c r="D159">
        <v>10</v>
      </c>
      <c r="E159" t="s">
        <v>11</v>
      </c>
      <c r="F159">
        <v>222</v>
      </c>
      <c r="G159">
        <v>3479187.07</v>
      </c>
      <c r="H159">
        <v>772379529.53999996</v>
      </c>
    </row>
    <row r="160" spans="1:8" x14ac:dyDescent="0.25">
      <c r="A160" t="s">
        <v>329</v>
      </c>
      <c r="B160" t="s">
        <v>330</v>
      </c>
      <c r="C160" t="s">
        <v>26</v>
      </c>
      <c r="D160">
        <v>8</v>
      </c>
      <c r="E160" t="s">
        <v>11</v>
      </c>
      <c r="F160">
        <v>111</v>
      </c>
      <c r="G160">
        <v>3500413.2</v>
      </c>
      <c r="H160">
        <v>388545865.19999999</v>
      </c>
    </row>
    <row r="161" spans="1:8" x14ac:dyDescent="0.25">
      <c r="A161" t="s">
        <v>331</v>
      </c>
      <c r="B161" t="s">
        <v>332</v>
      </c>
      <c r="C161" t="s">
        <v>26</v>
      </c>
      <c r="D161">
        <v>16</v>
      </c>
      <c r="E161" t="s">
        <v>11</v>
      </c>
      <c r="F161">
        <v>332</v>
      </c>
      <c r="G161">
        <v>406248.74</v>
      </c>
      <c r="H161">
        <v>134874581.68000001</v>
      </c>
    </row>
    <row r="162" spans="1:8" x14ac:dyDescent="0.25">
      <c r="A162" t="s">
        <v>333</v>
      </c>
      <c r="B162" t="s">
        <v>334</v>
      </c>
      <c r="C162" t="s">
        <v>26</v>
      </c>
      <c r="D162">
        <v>3</v>
      </c>
      <c r="E162" t="s">
        <v>11</v>
      </c>
      <c r="F162">
        <v>269</v>
      </c>
      <c r="G162">
        <v>2007169.16</v>
      </c>
      <c r="H162">
        <v>539928504.03999996</v>
      </c>
    </row>
    <row r="163" spans="1:8" x14ac:dyDescent="0.25">
      <c r="A163" t="s">
        <v>335</v>
      </c>
      <c r="B163" t="s">
        <v>336</v>
      </c>
      <c r="C163" t="s">
        <v>10</v>
      </c>
      <c r="D163">
        <v>3</v>
      </c>
      <c r="E163" t="s">
        <v>11</v>
      </c>
      <c r="F163">
        <v>313</v>
      </c>
      <c r="G163">
        <v>880679.25</v>
      </c>
      <c r="H163">
        <v>275652605.25</v>
      </c>
    </row>
    <row r="164" spans="1:8" x14ac:dyDescent="0.25">
      <c r="A164" t="s">
        <v>337</v>
      </c>
      <c r="B164" t="s">
        <v>338</v>
      </c>
      <c r="C164" t="s">
        <v>14</v>
      </c>
      <c r="D164">
        <v>18</v>
      </c>
      <c r="E164" t="s">
        <v>11</v>
      </c>
      <c r="F164">
        <v>67</v>
      </c>
      <c r="G164">
        <v>640212.02</v>
      </c>
      <c r="H164">
        <v>42894205.340000004</v>
      </c>
    </row>
    <row r="165" spans="1:8" x14ac:dyDescent="0.25">
      <c r="A165" t="s">
        <v>339</v>
      </c>
      <c r="B165" t="s">
        <v>340</v>
      </c>
      <c r="C165" t="s">
        <v>14</v>
      </c>
      <c r="D165">
        <v>9</v>
      </c>
      <c r="E165" t="s">
        <v>11</v>
      </c>
      <c r="F165">
        <v>228</v>
      </c>
      <c r="G165">
        <v>862081.36</v>
      </c>
      <c r="H165">
        <v>196554550.08000001</v>
      </c>
    </row>
    <row r="166" spans="1:8" x14ac:dyDescent="0.25">
      <c r="A166" t="s">
        <v>341</v>
      </c>
      <c r="B166" t="s">
        <v>342</v>
      </c>
      <c r="C166" t="s">
        <v>10</v>
      </c>
      <c r="D166">
        <v>24</v>
      </c>
      <c r="E166" t="s">
        <v>11</v>
      </c>
      <c r="F166">
        <v>318</v>
      </c>
      <c r="G166">
        <v>626738.07999999996</v>
      </c>
      <c r="H166">
        <v>199302709.44</v>
      </c>
    </row>
    <row r="167" spans="1:8" x14ac:dyDescent="0.25">
      <c r="A167" t="s">
        <v>343</v>
      </c>
      <c r="B167" t="s">
        <v>344</v>
      </c>
      <c r="C167" t="s">
        <v>19</v>
      </c>
      <c r="D167">
        <v>25</v>
      </c>
      <c r="E167" t="s">
        <v>11</v>
      </c>
      <c r="F167">
        <v>220</v>
      </c>
      <c r="G167">
        <v>175235.58</v>
      </c>
      <c r="H167">
        <v>38551827.600000001</v>
      </c>
    </row>
    <row r="168" spans="1:8" x14ac:dyDescent="0.25">
      <c r="A168" t="s">
        <v>345</v>
      </c>
      <c r="B168" t="s">
        <v>346</v>
      </c>
      <c r="C168" t="s">
        <v>14</v>
      </c>
      <c r="D168">
        <v>25</v>
      </c>
      <c r="E168" t="s">
        <v>11</v>
      </c>
      <c r="F168">
        <v>312</v>
      </c>
      <c r="G168">
        <v>896029.07</v>
      </c>
      <c r="H168">
        <v>279561069.83999997</v>
      </c>
    </row>
    <row r="169" spans="1:8" x14ac:dyDescent="0.25">
      <c r="A169" t="s">
        <v>347</v>
      </c>
      <c r="B169" t="s">
        <v>348</v>
      </c>
      <c r="C169" t="s">
        <v>26</v>
      </c>
      <c r="D169">
        <v>22</v>
      </c>
      <c r="E169" t="s">
        <v>11</v>
      </c>
      <c r="F169">
        <v>266</v>
      </c>
      <c r="G169">
        <v>3642824.14</v>
      </c>
      <c r="H169">
        <v>968991221.24000001</v>
      </c>
    </row>
    <row r="170" spans="1:8" x14ac:dyDescent="0.25">
      <c r="A170" t="s">
        <v>349</v>
      </c>
      <c r="B170" t="s">
        <v>350</v>
      </c>
      <c r="C170" t="s">
        <v>19</v>
      </c>
      <c r="D170">
        <v>21</v>
      </c>
      <c r="E170" t="s">
        <v>11</v>
      </c>
      <c r="F170">
        <v>105</v>
      </c>
      <c r="G170">
        <v>1337899.71</v>
      </c>
      <c r="H170">
        <v>140479469.55000001</v>
      </c>
    </row>
    <row r="171" spans="1:8" x14ac:dyDescent="0.25">
      <c r="A171" t="s">
        <v>351</v>
      </c>
      <c r="B171" t="s">
        <v>352</v>
      </c>
      <c r="C171" t="s">
        <v>14</v>
      </c>
      <c r="D171">
        <v>21</v>
      </c>
      <c r="E171" t="s">
        <v>11</v>
      </c>
      <c r="F171">
        <v>161</v>
      </c>
      <c r="G171">
        <v>425590.74</v>
      </c>
      <c r="H171">
        <v>68520109.140000001</v>
      </c>
    </row>
    <row r="172" spans="1:8" x14ac:dyDescent="0.25">
      <c r="A172" t="s">
        <v>353</v>
      </c>
      <c r="B172" t="s">
        <v>354</v>
      </c>
      <c r="C172" t="s">
        <v>14</v>
      </c>
      <c r="D172">
        <v>14</v>
      </c>
      <c r="E172" t="s">
        <v>11</v>
      </c>
      <c r="F172">
        <v>328</v>
      </c>
      <c r="G172">
        <v>801330.34</v>
      </c>
      <c r="H172">
        <v>262836351.52000001</v>
      </c>
    </row>
    <row r="173" spans="1:8" x14ac:dyDescent="0.25">
      <c r="A173" t="s">
        <v>355</v>
      </c>
      <c r="B173" t="s">
        <v>356</v>
      </c>
      <c r="C173" t="s">
        <v>14</v>
      </c>
      <c r="D173">
        <v>3</v>
      </c>
      <c r="E173" t="s">
        <v>11</v>
      </c>
      <c r="F173">
        <v>26</v>
      </c>
      <c r="G173">
        <v>772986.48</v>
      </c>
      <c r="H173">
        <v>20097648.48</v>
      </c>
    </row>
    <row r="174" spans="1:8" x14ac:dyDescent="0.25">
      <c r="A174" t="s">
        <v>357</v>
      </c>
      <c r="B174" t="s">
        <v>358</v>
      </c>
      <c r="C174" t="s">
        <v>19</v>
      </c>
      <c r="D174">
        <v>22</v>
      </c>
      <c r="E174" t="s">
        <v>11</v>
      </c>
      <c r="F174">
        <v>294</v>
      </c>
      <c r="G174">
        <v>449485.31</v>
      </c>
      <c r="H174">
        <v>132148681.14</v>
      </c>
    </row>
    <row r="175" spans="1:8" x14ac:dyDescent="0.25">
      <c r="A175" t="s">
        <v>359</v>
      </c>
      <c r="B175" t="s">
        <v>360</v>
      </c>
      <c r="C175" t="s">
        <v>10</v>
      </c>
      <c r="D175">
        <v>18</v>
      </c>
      <c r="E175" t="s">
        <v>11</v>
      </c>
      <c r="F175">
        <v>38</v>
      </c>
      <c r="G175">
        <v>854462.73</v>
      </c>
      <c r="H175">
        <v>32469583.739999998</v>
      </c>
    </row>
    <row r="176" spans="1:8" x14ac:dyDescent="0.25">
      <c r="A176" t="s">
        <v>361</v>
      </c>
      <c r="B176" t="s">
        <v>362</v>
      </c>
      <c r="C176" t="s">
        <v>14</v>
      </c>
      <c r="D176">
        <v>15</v>
      </c>
      <c r="E176" t="s">
        <v>11</v>
      </c>
      <c r="F176">
        <v>52</v>
      </c>
      <c r="G176">
        <v>1075440.04</v>
      </c>
      <c r="H176">
        <v>55922882.079999998</v>
      </c>
    </row>
    <row r="177" spans="1:8" x14ac:dyDescent="0.25">
      <c r="A177" t="s">
        <v>363</v>
      </c>
      <c r="B177" t="s">
        <v>364</v>
      </c>
      <c r="C177" t="s">
        <v>14</v>
      </c>
      <c r="D177">
        <v>10</v>
      </c>
      <c r="E177" t="s">
        <v>11</v>
      </c>
      <c r="F177">
        <v>89</v>
      </c>
      <c r="G177">
        <v>372496.68</v>
      </c>
      <c r="H177">
        <v>33152204.52</v>
      </c>
    </row>
    <row r="178" spans="1:8" x14ac:dyDescent="0.25">
      <c r="A178" t="s">
        <v>365</v>
      </c>
      <c r="B178" t="s">
        <v>366</v>
      </c>
      <c r="C178" t="s">
        <v>10</v>
      </c>
      <c r="D178">
        <v>24</v>
      </c>
      <c r="E178" t="s">
        <v>11</v>
      </c>
      <c r="F178">
        <v>132</v>
      </c>
      <c r="G178">
        <v>91355.5</v>
      </c>
      <c r="H178">
        <v>12058926</v>
      </c>
    </row>
    <row r="179" spans="1:8" x14ac:dyDescent="0.25">
      <c r="A179" t="s">
        <v>367</v>
      </c>
      <c r="B179" t="s">
        <v>368</v>
      </c>
      <c r="C179" t="s">
        <v>26</v>
      </c>
      <c r="D179">
        <v>18</v>
      </c>
      <c r="E179" t="s">
        <v>11</v>
      </c>
      <c r="F179">
        <v>105</v>
      </c>
      <c r="G179">
        <v>2544342.3199999998</v>
      </c>
      <c r="H179">
        <v>267155943.59999999</v>
      </c>
    </row>
    <row r="180" spans="1:8" x14ac:dyDescent="0.25">
      <c r="A180" t="s">
        <v>369</v>
      </c>
      <c r="B180" t="s">
        <v>370</v>
      </c>
      <c r="C180" t="s">
        <v>26</v>
      </c>
      <c r="D180">
        <v>23</v>
      </c>
      <c r="E180" t="s">
        <v>11</v>
      </c>
      <c r="F180">
        <v>219</v>
      </c>
      <c r="G180">
        <v>3073973.36</v>
      </c>
      <c r="H180">
        <v>673200165.84000003</v>
      </c>
    </row>
    <row r="181" spans="1:8" x14ac:dyDescent="0.25">
      <c r="A181" t="s">
        <v>371</v>
      </c>
      <c r="B181" t="s">
        <v>372</v>
      </c>
      <c r="C181" t="s">
        <v>26</v>
      </c>
      <c r="D181">
        <v>25</v>
      </c>
      <c r="E181" t="s">
        <v>11</v>
      </c>
      <c r="F181">
        <v>68</v>
      </c>
      <c r="G181">
        <v>3763336.7</v>
      </c>
      <c r="H181">
        <v>255906895.59999999</v>
      </c>
    </row>
    <row r="182" spans="1:8" x14ac:dyDescent="0.25">
      <c r="A182" t="s">
        <v>373</v>
      </c>
      <c r="B182" t="s">
        <v>374</v>
      </c>
      <c r="C182" t="s">
        <v>10</v>
      </c>
      <c r="D182">
        <v>12</v>
      </c>
      <c r="E182" t="s">
        <v>11</v>
      </c>
      <c r="F182">
        <v>213</v>
      </c>
      <c r="G182">
        <v>800358.92</v>
      </c>
      <c r="H182">
        <v>170476449.96000001</v>
      </c>
    </row>
    <row r="183" spans="1:8" x14ac:dyDescent="0.25">
      <c r="A183" t="s">
        <v>375</v>
      </c>
      <c r="B183" t="s">
        <v>376</v>
      </c>
      <c r="C183" t="s">
        <v>10</v>
      </c>
      <c r="D183">
        <v>6</v>
      </c>
      <c r="E183" t="s">
        <v>11</v>
      </c>
      <c r="F183">
        <v>145</v>
      </c>
      <c r="G183">
        <v>1270120.96</v>
      </c>
      <c r="H183">
        <v>184167539.19999999</v>
      </c>
    </row>
    <row r="184" spans="1:8" x14ac:dyDescent="0.25">
      <c r="A184" t="s">
        <v>377</v>
      </c>
      <c r="B184" t="s">
        <v>378</v>
      </c>
      <c r="C184" t="s">
        <v>26</v>
      </c>
      <c r="D184">
        <v>19</v>
      </c>
      <c r="E184" t="s">
        <v>11</v>
      </c>
      <c r="F184">
        <v>251</v>
      </c>
      <c r="G184">
        <v>3270642.86</v>
      </c>
      <c r="H184">
        <v>820931357.86000001</v>
      </c>
    </row>
    <row r="185" spans="1:8" x14ac:dyDescent="0.25">
      <c r="A185" t="s">
        <v>379</v>
      </c>
      <c r="B185" t="s">
        <v>380</v>
      </c>
      <c r="C185" t="s">
        <v>10</v>
      </c>
      <c r="D185">
        <v>18</v>
      </c>
      <c r="E185" t="s">
        <v>11</v>
      </c>
      <c r="F185">
        <v>139</v>
      </c>
      <c r="G185">
        <v>310390.71000000002</v>
      </c>
      <c r="H185">
        <v>43144308.689999998</v>
      </c>
    </row>
    <row r="186" spans="1:8" x14ac:dyDescent="0.25">
      <c r="A186" t="s">
        <v>381</v>
      </c>
      <c r="B186" t="s">
        <v>382</v>
      </c>
      <c r="C186" t="s">
        <v>19</v>
      </c>
      <c r="D186">
        <v>22</v>
      </c>
      <c r="E186" t="s">
        <v>11</v>
      </c>
      <c r="F186">
        <v>45</v>
      </c>
      <c r="G186">
        <v>1095106.47</v>
      </c>
      <c r="H186">
        <v>49279791.149999999</v>
      </c>
    </row>
    <row r="187" spans="1:8" x14ac:dyDescent="0.25">
      <c r="A187" t="s">
        <v>383</v>
      </c>
      <c r="B187" t="s">
        <v>384</v>
      </c>
      <c r="C187" t="s">
        <v>10</v>
      </c>
      <c r="D187">
        <v>20</v>
      </c>
      <c r="E187" t="s">
        <v>11</v>
      </c>
      <c r="F187">
        <v>218</v>
      </c>
      <c r="G187">
        <v>933866.34</v>
      </c>
      <c r="H187">
        <v>203582862.12</v>
      </c>
    </row>
    <row r="188" spans="1:8" x14ac:dyDescent="0.25">
      <c r="A188" t="s">
        <v>385</v>
      </c>
      <c r="B188" t="s">
        <v>386</v>
      </c>
      <c r="C188" t="s">
        <v>10</v>
      </c>
      <c r="D188">
        <v>8</v>
      </c>
      <c r="E188" t="s">
        <v>11</v>
      </c>
      <c r="F188">
        <v>43</v>
      </c>
      <c r="G188">
        <v>925665.02</v>
      </c>
      <c r="H188">
        <v>39803595.859999999</v>
      </c>
    </row>
    <row r="189" spans="1:8" x14ac:dyDescent="0.25">
      <c r="A189" t="s">
        <v>387</v>
      </c>
      <c r="B189" t="s">
        <v>388</v>
      </c>
      <c r="C189" t="s">
        <v>19</v>
      </c>
      <c r="D189">
        <v>8</v>
      </c>
      <c r="E189" t="s">
        <v>11</v>
      </c>
      <c r="F189">
        <v>308</v>
      </c>
      <c r="G189">
        <v>80857.78</v>
      </c>
      <c r="H189">
        <v>24904196.239999998</v>
      </c>
    </row>
    <row r="190" spans="1:8" x14ac:dyDescent="0.25">
      <c r="A190" t="s">
        <v>389</v>
      </c>
      <c r="B190" t="s">
        <v>390</v>
      </c>
      <c r="C190" t="s">
        <v>10</v>
      </c>
      <c r="D190">
        <v>14</v>
      </c>
      <c r="E190" t="s">
        <v>11</v>
      </c>
      <c r="F190">
        <v>29</v>
      </c>
      <c r="G190">
        <v>125582.46</v>
      </c>
      <c r="H190">
        <v>3641891.34</v>
      </c>
    </row>
    <row r="191" spans="1:8" x14ac:dyDescent="0.25">
      <c r="A191" t="s">
        <v>391</v>
      </c>
      <c r="B191" t="s">
        <v>392</v>
      </c>
      <c r="C191" t="s">
        <v>10</v>
      </c>
      <c r="D191">
        <v>21</v>
      </c>
      <c r="E191" t="s">
        <v>11</v>
      </c>
      <c r="F191">
        <v>350</v>
      </c>
      <c r="G191">
        <v>758673.75</v>
      </c>
      <c r="H191">
        <v>265535812.5</v>
      </c>
    </row>
    <row r="192" spans="1:8" x14ac:dyDescent="0.25">
      <c r="A192" t="s">
        <v>393</v>
      </c>
      <c r="B192" t="s">
        <v>394</v>
      </c>
      <c r="C192" t="s">
        <v>26</v>
      </c>
      <c r="D192">
        <v>12</v>
      </c>
      <c r="E192" t="s">
        <v>11</v>
      </c>
      <c r="F192">
        <v>53</v>
      </c>
      <c r="G192">
        <v>1093845.53</v>
      </c>
      <c r="H192">
        <v>57973813.090000004</v>
      </c>
    </row>
    <row r="193" spans="1:8" x14ac:dyDescent="0.25">
      <c r="A193" t="s">
        <v>395</v>
      </c>
      <c r="B193" t="s">
        <v>396</v>
      </c>
      <c r="C193" t="s">
        <v>14</v>
      </c>
      <c r="D193">
        <v>21</v>
      </c>
      <c r="E193" t="s">
        <v>11</v>
      </c>
      <c r="F193">
        <v>269</v>
      </c>
      <c r="G193">
        <v>195168.19</v>
      </c>
      <c r="H193">
        <v>52500243.109999999</v>
      </c>
    </row>
    <row r="194" spans="1:8" x14ac:dyDescent="0.25">
      <c r="A194" t="s">
        <v>397</v>
      </c>
      <c r="B194" t="s">
        <v>398</v>
      </c>
      <c r="C194" t="s">
        <v>26</v>
      </c>
      <c r="D194">
        <v>22</v>
      </c>
      <c r="E194" t="s">
        <v>11</v>
      </c>
      <c r="F194">
        <v>164</v>
      </c>
      <c r="G194">
        <v>951402.33</v>
      </c>
      <c r="H194">
        <v>156029982.12</v>
      </c>
    </row>
    <row r="195" spans="1:8" x14ac:dyDescent="0.25">
      <c r="A195" t="s">
        <v>399</v>
      </c>
      <c r="B195" t="s">
        <v>400</v>
      </c>
      <c r="C195" t="s">
        <v>19</v>
      </c>
      <c r="D195">
        <v>8</v>
      </c>
      <c r="E195" t="s">
        <v>11</v>
      </c>
      <c r="F195">
        <v>235</v>
      </c>
      <c r="G195">
        <v>839772.6</v>
      </c>
      <c r="H195">
        <v>197346561</v>
      </c>
    </row>
    <row r="196" spans="1:8" x14ac:dyDescent="0.25">
      <c r="A196" t="s">
        <v>401</v>
      </c>
      <c r="B196" t="s">
        <v>402</v>
      </c>
      <c r="C196" t="s">
        <v>19</v>
      </c>
      <c r="D196">
        <v>17</v>
      </c>
      <c r="E196" t="s">
        <v>11</v>
      </c>
      <c r="F196">
        <v>283</v>
      </c>
      <c r="G196">
        <v>1200456.71</v>
      </c>
      <c r="H196">
        <v>339729248.93000001</v>
      </c>
    </row>
    <row r="197" spans="1:8" x14ac:dyDescent="0.25">
      <c r="A197" t="s">
        <v>403</v>
      </c>
      <c r="B197" t="s">
        <v>404</v>
      </c>
      <c r="C197" t="s">
        <v>19</v>
      </c>
      <c r="D197">
        <v>18</v>
      </c>
      <c r="E197" t="s">
        <v>11</v>
      </c>
      <c r="F197">
        <v>210</v>
      </c>
      <c r="G197">
        <v>1049755.6299999999</v>
      </c>
      <c r="H197">
        <v>220448682.30000001</v>
      </c>
    </row>
    <row r="198" spans="1:8" x14ac:dyDescent="0.25">
      <c r="A198" t="s">
        <v>405</v>
      </c>
      <c r="B198" t="s">
        <v>406</v>
      </c>
      <c r="C198" t="s">
        <v>19</v>
      </c>
      <c r="D198">
        <v>10</v>
      </c>
      <c r="E198" t="s">
        <v>11</v>
      </c>
      <c r="F198">
        <v>340</v>
      </c>
      <c r="G198">
        <v>1653048.75</v>
      </c>
      <c r="H198">
        <v>562036575</v>
      </c>
    </row>
    <row r="199" spans="1:8" x14ac:dyDescent="0.25">
      <c r="A199" t="s">
        <v>407</v>
      </c>
      <c r="B199" t="s">
        <v>408</v>
      </c>
      <c r="C199" t="s">
        <v>19</v>
      </c>
      <c r="D199">
        <v>18</v>
      </c>
      <c r="E199" t="s">
        <v>11</v>
      </c>
      <c r="F199">
        <v>368</v>
      </c>
      <c r="G199">
        <v>1096698.76</v>
      </c>
      <c r="H199">
        <v>403585143.68000001</v>
      </c>
    </row>
    <row r="200" spans="1:8" x14ac:dyDescent="0.25">
      <c r="A200" t="s">
        <v>409</v>
      </c>
      <c r="B200" t="s">
        <v>410</v>
      </c>
      <c r="C200" t="s">
        <v>10</v>
      </c>
      <c r="D200">
        <v>7</v>
      </c>
      <c r="E200" t="s">
        <v>11</v>
      </c>
      <c r="F200">
        <v>330</v>
      </c>
      <c r="G200">
        <v>1297109.01</v>
      </c>
      <c r="H200">
        <v>428045973.30000001</v>
      </c>
    </row>
    <row r="201" spans="1:8" x14ac:dyDescent="0.25">
      <c r="A201" t="s">
        <v>411</v>
      </c>
      <c r="B201" t="s">
        <v>412</v>
      </c>
      <c r="C201" t="s">
        <v>14</v>
      </c>
      <c r="D201">
        <v>19</v>
      </c>
      <c r="E201" t="s">
        <v>11</v>
      </c>
      <c r="F201">
        <v>279</v>
      </c>
      <c r="G201">
        <v>716302.24</v>
      </c>
      <c r="H201">
        <v>199848324.96000001</v>
      </c>
    </row>
    <row r="202" spans="1:8" x14ac:dyDescent="0.25">
      <c r="A202" t="s">
        <v>413</v>
      </c>
      <c r="B202" t="s">
        <v>414</v>
      </c>
      <c r="C202" t="s">
        <v>14</v>
      </c>
      <c r="D202">
        <v>11</v>
      </c>
      <c r="E202" t="s">
        <v>11</v>
      </c>
      <c r="F202">
        <v>326</v>
      </c>
      <c r="G202">
        <v>946335.94</v>
      </c>
      <c r="H202">
        <v>308505516.44</v>
      </c>
    </row>
    <row r="203" spans="1:8" x14ac:dyDescent="0.25">
      <c r="A203" t="s">
        <v>415</v>
      </c>
      <c r="B203" t="s">
        <v>416</v>
      </c>
      <c r="C203" t="s">
        <v>19</v>
      </c>
      <c r="D203">
        <v>20</v>
      </c>
      <c r="E203" t="s">
        <v>11</v>
      </c>
      <c r="F203">
        <v>258</v>
      </c>
      <c r="G203">
        <v>747629.52</v>
      </c>
      <c r="H203">
        <v>192888416.16</v>
      </c>
    </row>
    <row r="204" spans="1:8" x14ac:dyDescent="0.25">
      <c r="A204" t="s">
        <v>417</v>
      </c>
      <c r="B204" t="s">
        <v>418</v>
      </c>
      <c r="C204" t="s">
        <v>10</v>
      </c>
      <c r="D204">
        <v>18</v>
      </c>
      <c r="E204" t="s">
        <v>11</v>
      </c>
      <c r="F204">
        <v>248</v>
      </c>
      <c r="G204">
        <v>224249.5</v>
      </c>
      <c r="H204">
        <v>55613876</v>
      </c>
    </row>
    <row r="205" spans="1:8" x14ac:dyDescent="0.25">
      <c r="A205" t="s">
        <v>419</v>
      </c>
      <c r="B205" t="s">
        <v>420</v>
      </c>
      <c r="C205" t="s">
        <v>10</v>
      </c>
      <c r="D205">
        <v>5</v>
      </c>
      <c r="E205" t="s">
        <v>11</v>
      </c>
      <c r="F205">
        <v>92</v>
      </c>
      <c r="G205">
        <v>691447.47</v>
      </c>
      <c r="H205">
        <v>63613167.240000002</v>
      </c>
    </row>
    <row r="206" spans="1:8" x14ac:dyDescent="0.25">
      <c r="A206" t="s">
        <v>421</v>
      </c>
      <c r="B206" t="s">
        <v>422</v>
      </c>
      <c r="C206" t="s">
        <v>14</v>
      </c>
      <c r="D206">
        <v>15</v>
      </c>
      <c r="E206" t="s">
        <v>11</v>
      </c>
      <c r="F206">
        <v>185</v>
      </c>
      <c r="G206">
        <v>469704.17</v>
      </c>
      <c r="H206">
        <v>86895271.450000003</v>
      </c>
    </row>
    <row r="207" spans="1:8" x14ac:dyDescent="0.25">
      <c r="A207" t="s">
        <v>423</v>
      </c>
      <c r="B207" t="s">
        <v>424</v>
      </c>
      <c r="C207" t="s">
        <v>26</v>
      </c>
      <c r="D207">
        <v>6</v>
      </c>
      <c r="E207" t="s">
        <v>11</v>
      </c>
      <c r="F207">
        <v>307</v>
      </c>
      <c r="G207">
        <v>3455404.03</v>
      </c>
      <c r="H207">
        <v>1060809037.21</v>
      </c>
    </row>
    <row r="208" spans="1:8" x14ac:dyDescent="0.25">
      <c r="A208" t="s">
        <v>425</v>
      </c>
      <c r="B208" t="s">
        <v>426</v>
      </c>
      <c r="C208" t="s">
        <v>14</v>
      </c>
      <c r="D208">
        <v>21</v>
      </c>
      <c r="E208" t="s">
        <v>11</v>
      </c>
      <c r="F208">
        <v>239</v>
      </c>
      <c r="G208">
        <v>696256.32</v>
      </c>
      <c r="H208">
        <v>166405260.47999999</v>
      </c>
    </row>
    <row r="209" spans="1:8" x14ac:dyDescent="0.25">
      <c r="A209" t="s">
        <v>427</v>
      </c>
      <c r="B209" t="s">
        <v>428</v>
      </c>
      <c r="C209" t="s">
        <v>10</v>
      </c>
      <c r="D209">
        <v>20</v>
      </c>
      <c r="E209" t="s">
        <v>11</v>
      </c>
      <c r="F209">
        <v>90</v>
      </c>
      <c r="G209">
        <v>897577.27</v>
      </c>
      <c r="H209">
        <v>80781954.299999997</v>
      </c>
    </row>
    <row r="210" spans="1:8" x14ac:dyDescent="0.25">
      <c r="A210" t="s">
        <v>429</v>
      </c>
      <c r="B210" t="s">
        <v>430</v>
      </c>
      <c r="C210" t="s">
        <v>19</v>
      </c>
      <c r="D210">
        <v>20</v>
      </c>
      <c r="E210" t="s">
        <v>11</v>
      </c>
      <c r="F210">
        <v>269</v>
      </c>
      <c r="G210">
        <v>1870055.36</v>
      </c>
      <c r="H210">
        <v>503044891.83999997</v>
      </c>
    </row>
    <row r="211" spans="1:8" x14ac:dyDescent="0.25">
      <c r="A211" t="s">
        <v>431</v>
      </c>
      <c r="B211" t="s">
        <v>432</v>
      </c>
      <c r="C211" t="s">
        <v>26</v>
      </c>
      <c r="D211">
        <v>22</v>
      </c>
      <c r="E211" t="s">
        <v>11</v>
      </c>
      <c r="F211">
        <v>358</v>
      </c>
      <c r="G211">
        <v>1064924.6399999999</v>
      </c>
      <c r="H211">
        <v>381243021.12</v>
      </c>
    </row>
    <row r="212" spans="1:8" x14ac:dyDescent="0.25">
      <c r="A212" t="s">
        <v>433</v>
      </c>
      <c r="B212" t="s">
        <v>434</v>
      </c>
      <c r="C212" t="s">
        <v>10</v>
      </c>
      <c r="D212">
        <v>19</v>
      </c>
      <c r="E212" t="s">
        <v>11</v>
      </c>
      <c r="F212">
        <v>170</v>
      </c>
      <c r="G212">
        <v>1338492.1299999999</v>
      </c>
      <c r="H212">
        <v>227543662.09999999</v>
      </c>
    </row>
    <row r="213" spans="1:8" x14ac:dyDescent="0.25">
      <c r="A213" t="s">
        <v>435</v>
      </c>
      <c r="B213" t="s">
        <v>436</v>
      </c>
      <c r="C213" t="s">
        <v>10</v>
      </c>
      <c r="D213">
        <v>9</v>
      </c>
      <c r="E213" t="s">
        <v>11</v>
      </c>
      <c r="F213">
        <v>302</v>
      </c>
      <c r="G213">
        <v>1106112.71</v>
      </c>
      <c r="H213">
        <v>334046038.42000002</v>
      </c>
    </row>
    <row r="214" spans="1:8" x14ac:dyDescent="0.25">
      <c r="A214" t="s">
        <v>437</v>
      </c>
      <c r="B214" t="s">
        <v>438</v>
      </c>
      <c r="C214" t="s">
        <v>14</v>
      </c>
      <c r="D214">
        <v>19</v>
      </c>
      <c r="E214" t="s">
        <v>11</v>
      </c>
      <c r="F214">
        <v>67</v>
      </c>
      <c r="G214">
        <v>500587.5</v>
      </c>
      <c r="H214">
        <v>33539362.5</v>
      </c>
    </row>
    <row r="215" spans="1:8" x14ac:dyDescent="0.25">
      <c r="A215" t="s">
        <v>439</v>
      </c>
      <c r="B215" t="s">
        <v>440</v>
      </c>
      <c r="C215" t="s">
        <v>14</v>
      </c>
      <c r="D215">
        <v>13</v>
      </c>
      <c r="E215" t="s">
        <v>11</v>
      </c>
      <c r="F215">
        <v>289</v>
      </c>
      <c r="G215">
        <v>1035718.45</v>
      </c>
      <c r="H215">
        <v>299322632.05000001</v>
      </c>
    </row>
    <row r="216" spans="1:8" x14ac:dyDescent="0.25">
      <c r="A216" t="s">
        <v>441</v>
      </c>
      <c r="B216" t="s">
        <v>442</v>
      </c>
      <c r="C216" t="s">
        <v>26</v>
      </c>
      <c r="D216">
        <v>25</v>
      </c>
      <c r="E216" t="s">
        <v>11</v>
      </c>
      <c r="F216">
        <v>144</v>
      </c>
      <c r="G216">
        <v>3968459.25</v>
      </c>
      <c r="H216">
        <v>571458132</v>
      </c>
    </row>
    <row r="217" spans="1:8" x14ac:dyDescent="0.25">
      <c r="A217" t="s">
        <v>443</v>
      </c>
      <c r="B217" t="s">
        <v>444</v>
      </c>
      <c r="C217" t="s">
        <v>10</v>
      </c>
      <c r="D217">
        <v>17</v>
      </c>
      <c r="E217" t="s">
        <v>11</v>
      </c>
      <c r="F217">
        <v>136</v>
      </c>
      <c r="G217">
        <v>1560336.86</v>
      </c>
      <c r="H217">
        <v>212205812.96000001</v>
      </c>
    </row>
    <row r="218" spans="1:8" x14ac:dyDescent="0.25">
      <c r="A218" t="s">
        <v>445</v>
      </c>
      <c r="B218" t="s">
        <v>446</v>
      </c>
      <c r="C218" t="s">
        <v>10</v>
      </c>
      <c r="D218">
        <v>14</v>
      </c>
      <c r="E218" t="s">
        <v>11</v>
      </c>
      <c r="F218">
        <v>195</v>
      </c>
      <c r="G218">
        <v>1525059.81</v>
      </c>
      <c r="H218">
        <v>297386662.94999999</v>
      </c>
    </row>
    <row r="219" spans="1:8" x14ac:dyDescent="0.25">
      <c r="A219" t="s">
        <v>447</v>
      </c>
      <c r="B219" t="s">
        <v>448</v>
      </c>
      <c r="C219" t="s">
        <v>19</v>
      </c>
      <c r="D219">
        <v>18</v>
      </c>
      <c r="E219" t="s">
        <v>11</v>
      </c>
      <c r="F219">
        <v>96</v>
      </c>
      <c r="G219">
        <v>454496.14</v>
      </c>
      <c r="H219">
        <v>43631629.439999998</v>
      </c>
    </row>
    <row r="220" spans="1:8" x14ac:dyDescent="0.25">
      <c r="A220" t="s">
        <v>449</v>
      </c>
      <c r="B220" t="s">
        <v>450</v>
      </c>
      <c r="C220" t="s">
        <v>26</v>
      </c>
      <c r="D220">
        <v>5</v>
      </c>
      <c r="E220" t="s">
        <v>11</v>
      </c>
      <c r="F220">
        <v>240</v>
      </c>
      <c r="G220">
        <v>1435280.17</v>
      </c>
      <c r="H220">
        <v>344467240.80000001</v>
      </c>
    </row>
    <row r="221" spans="1:8" x14ac:dyDescent="0.25">
      <c r="A221" t="s">
        <v>451</v>
      </c>
      <c r="B221" t="s">
        <v>452</v>
      </c>
      <c r="C221" t="s">
        <v>19</v>
      </c>
      <c r="D221">
        <v>6</v>
      </c>
      <c r="E221" t="s">
        <v>11</v>
      </c>
      <c r="F221">
        <v>173</v>
      </c>
      <c r="G221">
        <v>81336.19</v>
      </c>
      <c r="H221">
        <v>14071160.869999999</v>
      </c>
    </row>
    <row r="222" spans="1:8" x14ac:dyDescent="0.25">
      <c r="A222" t="s">
        <v>453</v>
      </c>
      <c r="B222" t="s">
        <v>454</v>
      </c>
      <c r="C222" t="s">
        <v>19</v>
      </c>
      <c r="D222">
        <v>7</v>
      </c>
      <c r="E222" t="s">
        <v>11</v>
      </c>
      <c r="F222">
        <v>104</v>
      </c>
      <c r="G222">
        <v>1382112.52</v>
      </c>
      <c r="H222">
        <v>143739702.08000001</v>
      </c>
    </row>
    <row r="223" spans="1:8" x14ac:dyDescent="0.25">
      <c r="A223" t="s">
        <v>455</v>
      </c>
      <c r="B223" t="s">
        <v>456</v>
      </c>
      <c r="C223" t="s">
        <v>14</v>
      </c>
      <c r="D223">
        <v>11</v>
      </c>
      <c r="E223" t="s">
        <v>11</v>
      </c>
      <c r="F223">
        <v>324</v>
      </c>
      <c r="G223">
        <v>1093042.48</v>
      </c>
      <c r="H223">
        <v>354145763.51999998</v>
      </c>
    </row>
    <row r="224" spans="1:8" x14ac:dyDescent="0.25">
      <c r="A224" t="s">
        <v>457</v>
      </c>
      <c r="B224" t="s">
        <v>458</v>
      </c>
      <c r="C224" t="s">
        <v>26</v>
      </c>
      <c r="D224">
        <v>16</v>
      </c>
      <c r="E224" t="s">
        <v>11</v>
      </c>
      <c r="F224">
        <v>209</v>
      </c>
      <c r="G224">
        <v>544092.71</v>
      </c>
      <c r="H224">
        <v>113715376.39</v>
      </c>
    </row>
    <row r="225" spans="1:8" x14ac:dyDescent="0.25">
      <c r="A225" t="s">
        <v>459</v>
      </c>
      <c r="B225" t="s">
        <v>460</v>
      </c>
      <c r="C225" t="s">
        <v>26</v>
      </c>
      <c r="D225">
        <v>14</v>
      </c>
      <c r="E225" t="s">
        <v>11</v>
      </c>
      <c r="F225">
        <v>77</v>
      </c>
      <c r="G225">
        <v>2505788.5099999998</v>
      </c>
      <c r="H225">
        <v>192945715.27000001</v>
      </c>
    </row>
    <row r="226" spans="1:8" x14ac:dyDescent="0.25">
      <c r="A226" t="s">
        <v>461</v>
      </c>
      <c r="B226" t="s">
        <v>462</v>
      </c>
      <c r="C226" t="s">
        <v>14</v>
      </c>
      <c r="D226">
        <v>13</v>
      </c>
      <c r="E226" t="s">
        <v>11</v>
      </c>
      <c r="F226">
        <v>92</v>
      </c>
      <c r="G226">
        <v>758514.91</v>
      </c>
      <c r="H226">
        <v>69783371.719999999</v>
      </c>
    </row>
    <row r="227" spans="1:8" x14ac:dyDescent="0.25">
      <c r="A227" t="s">
        <v>463</v>
      </c>
      <c r="B227" t="s">
        <v>464</v>
      </c>
      <c r="C227" t="s">
        <v>19</v>
      </c>
      <c r="D227">
        <v>3</v>
      </c>
      <c r="E227" t="s">
        <v>11</v>
      </c>
      <c r="F227">
        <v>53</v>
      </c>
      <c r="G227">
        <v>887396.34</v>
      </c>
      <c r="H227">
        <v>47032006.020000003</v>
      </c>
    </row>
    <row r="228" spans="1:8" x14ac:dyDescent="0.25">
      <c r="A228" t="s">
        <v>465</v>
      </c>
      <c r="B228" t="s">
        <v>466</v>
      </c>
      <c r="C228" t="s">
        <v>26</v>
      </c>
      <c r="D228">
        <v>17</v>
      </c>
      <c r="E228" t="s">
        <v>11</v>
      </c>
      <c r="F228">
        <v>156</v>
      </c>
      <c r="G228">
        <v>2019992.79</v>
      </c>
      <c r="H228">
        <v>315118875.24000001</v>
      </c>
    </row>
    <row r="229" spans="1:8" x14ac:dyDescent="0.25">
      <c r="A229" t="s">
        <v>467</v>
      </c>
      <c r="B229" t="s">
        <v>468</v>
      </c>
      <c r="C229" t="s">
        <v>19</v>
      </c>
      <c r="D229">
        <v>6</v>
      </c>
      <c r="E229" t="s">
        <v>11</v>
      </c>
      <c r="F229">
        <v>62</v>
      </c>
      <c r="G229">
        <v>1779847.63</v>
      </c>
      <c r="H229">
        <v>110350553.06</v>
      </c>
    </row>
    <row r="230" spans="1:8" x14ac:dyDescent="0.25">
      <c r="A230" t="s">
        <v>469</v>
      </c>
      <c r="B230" t="s">
        <v>470</v>
      </c>
      <c r="C230" t="s">
        <v>14</v>
      </c>
      <c r="D230">
        <v>14</v>
      </c>
      <c r="E230" t="s">
        <v>11</v>
      </c>
      <c r="F230">
        <v>81</v>
      </c>
      <c r="G230">
        <v>761347.3</v>
      </c>
      <c r="H230">
        <v>61669131.299999997</v>
      </c>
    </row>
    <row r="231" spans="1:8" x14ac:dyDescent="0.25">
      <c r="A231" t="s">
        <v>471</v>
      </c>
      <c r="B231" t="s">
        <v>472</v>
      </c>
      <c r="C231" t="s">
        <v>19</v>
      </c>
      <c r="D231">
        <v>20</v>
      </c>
      <c r="E231" t="s">
        <v>11</v>
      </c>
      <c r="F231">
        <v>247</v>
      </c>
      <c r="G231">
        <v>631364.21</v>
      </c>
      <c r="H231">
        <v>155946959.87</v>
      </c>
    </row>
    <row r="232" spans="1:8" x14ac:dyDescent="0.25">
      <c r="A232" t="s">
        <v>473</v>
      </c>
      <c r="B232" t="s">
        <v>474</v>
      </c>
      <c r="C232" t="s">
        <v>19</v>
      </c>
      <c r="D232">
        <v>11</v>
      </c>
      <c r="E232" t="s">
        <v>11</v>
      </c>
      <c r="F232">
        <v>95</v>
      </c>
      <c r="G232">
        <v>1252298.67</v>
      </c>
      <c r="H232">
        <v>118968373.65000001</v>
      </c>
    </row>
    <row r="233" spans="1:8" x14ac:dyDescent="0.25">
      <c r="A233" t="s">
        <v>475</v>
      </c>
      <c r="B233" t="s">
        <v>476</v>
      </c>
      <c r="C233" t="s">
        <v>10</v>
      </c>
      <c r="D233">
        <v>5</v>
      </c>
      <c r="E233" t="s">
        <v>11</v>
      </c>
      <c r="F233">
        <v>137</v>
      </c>
      <c r="G233">
        <v>1503095.82</v>
      </c>
      <c r="H233">
        <v>205924127.34</v>
      </c>
    </row>
    <row r="234" spans="1:8" x14ac:dyDescent="0.25">
      <c r="A234" t="s">
        <v>477</v>
      </c>
      <c r="B234" t="s">
        <v>478</v>
      </c>
      <c r="C234" t="s">
        <v>14</v>
      </c>
      <c r="D234">
        <v>11</v>
      </c>
      <c r="E234" t="s">
        <v>11</v>
      </c>
      <c r="F234">
        <v>131</v>
      </c>
      <c r="G234">
        <v>168550.71</v>
      </c>
      <c r="H234">
        <v>22080143.010000002</v>
      </c>
    </row>
    <row r="235" spans="1:8" x14ac:dyDescent="0.25">
      <c r="A235" t="s">
        <v>479</v>
      </c>
      <c r="B235" t="s">
        <v>480</v>
      </c>
      <c r="C235" t="s">
        <v>26</v>
      </c>
      <c r="D235">
        <v>4</v>
      </c>
      <c r="E235" t="s">
        <v>11</v>
      </c>
      <c r="F235">
        <v>225</v>
      </c>
      <c r="G235">
        <v>3485853.36</v>
      </c>
      <c r="H235">
        <v>784317006</v>
      </c>
    </row>
    <row r="236" spans="1:8" x14ac:dyDescent="0.25">
      <c r="A236" t="s">
        <v>481</v>
      </c>
      <c r="B236" t="s">
        <v>482</v>
      </c>
      <c r="C236" t="s">
        <v>14</v>
      </c>
      <c r="D236">
        <v>11</v>
      </c>
      <c r="E236" t="s">
        <v>11</v>
      </c>
      <c r="F236">
        <v>25</v>
      </c>
      <c r="G236">
        <v>540855.04000000004</v>
      </c>
      <c r="H236">
        <v>13521376</v>
      </c>
    </row>
    <row r="237" spans="1:8" x14ac:dyDescent="0.25">
      <c r="A237" t="s">
        <v>483</v>
      </c>
      <c r="B237" t="s">
        <v>484</v>
      </c>
      <c r="C237" t="s">
        <v>14</v>
      </c>
      <c r="D237">
        <v>16</v>
      </c>
      <c r="E237" t="s">
        <v>11</v>
      </c>
      <c r="F237">
        <v>342</v>
      </c>
      <c r="G237">
        <v>1148739.29</v>
      </c>
      <c r="H237">
        <v>392868837.18000001</v>
      </c>
    </row>
    <row r="238" spans="1:8" x14ac:dyDescent="0.25">
      <c r="A238" t="s">
        <v>485</v>
      </c>
      <c r="B238" t="s">
        <v>486</v>
      </c>
      <c r="C238" t="s">
        <v>19</v>
      </c>
      <c r="D238">
        <v>8</v>
      </c>
      <c r="E238" t="s">
        <v>11</v>
      </c>
      <c r="F238">
        <v>13</v>
      </c>
      <c r="G238">
        <v>1473946.22</v>
      </c>
      <c r="H238">
        <v>19161300.859999999</v>
      </c>
    </row>
    <row r="239" spans="1:8" x14ac:dyDescent="0.25">
      <c r="A239" t="s">
        <v>487</v>
      </c>
      <c r="B239" t="s">
        <v>488</v>
      </c>
      <c r="C239" t="s">
        <v>14</v>
      </c>
      <c r="D239">
        <v>13</v>
      </c>
      <c r="E239" t="s">
        <v>11</v>
      </c>
      <c r="F239">
        <v>265</v>
      </c>
      <c r="G239">
        <v>373434.39</v>
      </c>
      <c r="H239">
        <v>98960113.349999994</v>
      </c>
    </row>
    <row r="240" spans="1:8" x14ac:dyDescent="0.25">
      <c r="A240" t="s">
        <v>489</v>
      </c>
      <c r="B240" t="s">
        <v>490</v>
      </c>
      <c r="C240" t="s">
        <v>10</v>
      </c>
      <c r="D240">
        <v>22</v>
      </c>
      <c r="E240" t="s">
        <v>11</v>
      </c>
      <c r="F240">
        <v>174</v>
      </c>
      <c r="G240">
        <v>1566953.49</v>
      </c>
      <c r="H240">
        <v>272649907.25999999</v>
      </c>
    </row>
    <row r="241" spans="1:8" x14ac:dyDescent="0.25">
      <c r="A241" t="s">
        <v>491</v>
      </c>
      <c r="B241" t="s">
        <v>492</v>
      </c>
      <c r="C241" t="s">
        <v>26</v>
      </c>
      <c r="D241">
        <v>6</v>
      </c>
      <c r="E241" t="s">
        <v>11</v>
      </c>
      <c r="F241">
        <v>90</v>
      </c>
      <c r="G241">
        <v>1024265.23</v>
      </c>
      <c r="H241">
        <v>92183870.700000003</v>
      </c>
    </row>
    <row r="242" spans="1:8" x14ac:dyDescent="0.25">
      <c r="A242" t="s">
        <v>493</v>
      </c>
      <c r="B242" t="s">
        <v>494</v>
      </c>
      <c r="C242" t="s">
        <v>19</v>
      </c>
      <c r="D242">
        <v>24</v>
      </c>
      <c r="E242" t="s">
        <v>11</v>
      </c>
      <c r="F242">
        <v>346</v>
      </c>
      <c r="G242">
        <v>1045279.69</v>
      </c>
      <c r="H242">
        <v>361666772.74000001</v>
      </c>
    </row>
    <row r="243" spans="1:8" x14ac:dyDescent="0.25">
      <c r="A243" t="s">
        <v>495</v>
      </c>
      <c r="B243" t="s">
        <v>496</v>
      </c>
      <c r="C243" t="s">
        <v>10</v>
      </c>
      <c r="D243">
        <v>23</v>
      </c>
      <c r="E243" t="s">
        <v>11</v>
      </c>
      <c r="F243">
        <v>124</v>
      </c>
      <c r="G243">
        <v>340103.22</v>
      </c>
      <c r="H243">
        <v>42172799.280000001</v>
      </c>
    </row>
    <row r="244" spans="1:8" x14ac:dyDescent="0.25">
      <c r="A244" t="s">
        <v>497</v>
      </c>
      <c r="B244" t="s">
        <v>498</v>
      </c>
      <c r="C244" t="s">
        <v>26</v>
      </c>
      <c r="D244">
        <v>17</v>
      </c>
      <c r="E244" t="s">
        <v>11</v>
      </c>
      <c r="F244">
        <v>47</v>
      </c>
      <c r="G244">
        <v>499818.85</v>
      </c>
      <c r="H244">
        <v>23491485.949999999</v>
      </c>
    </row>
    <row r="245" spans="1:8" x14ac:dyDescent="0.25">
      <c r="A245" t="s">
        <v>499</v>
      </c>
      <c r="B245" t="s">
        <v>500</v>
      </c>
      <c r="C245" t="s">
        <v>10</v>
      </c>
      <c r="D245">
        <v>4</v>
      </c>
      <c r="E245" t="s">
        <v>11</v>
      </c>
      <c r="F245">
        <v>86</v>
      </c>
      <c r="G245">
        <v>494675.81</v>
      </c>
      <c r="H245">
        <v>42542119.659999996</v>
      </c>
    </row>
    <row r="246" spans="1:8" x14ac:dyDescent="0.25">
      <c r="A246" t="s">
        <v>501</v>
      </c>
      <c r="B246" t="s">
        <v>502</v>
      </c>
      <c r="C246" t="s">
        <v>19</v>
      </c>
      <c r="D246">
        <v>16</v>
      </c>
      <c r="E246" t="s">
        <v>11</v>
      </c>
      <c r="F246">
        <v>324</v>
      </c>
      <c r="G246">
        <v>1109608.3700000001</v>
      </c>
      <c r="H246">
        <v>359513111.88</v>
      </c>
    </row>
    <row r="247" spans="1:8" x14ac:dyDescent="0.25">
      <c r="A247" t="s">
        <v>503</v>
      </c>
      <c r="B247" t="s">
        <v>504</v>
      </c>
      <c r="C247" t="s">
        <v>26</v>
      </c>
      <c r="D247">
        <v>8</v>
      </c>
      <c r="E247" t="s">
        <v>11</v>
      </c>
      <c r="F247">
        <v>164</v>
      </c>
      <c r="G247">
        <v>2630655.98</v>
      </c>
      <c r="H247">
        <v>431427580.72000003</v>
      </c>
    </row>
    <row r="248" spans="1:8" x14ac:dyDescent="0.25">
      <c r="A248" t="s">
        <v>505</v>
      </c>
      <c r="B248" t="s">
        <v>506</v>
      </c>
      <c r="C248" t="s">
        <v>14</v>
      </c>
      <c r="D248">
        <v>9</v>
      </c>
      <c r="E248" t="s">
        <v>11</v>
      </c>
      <c r="F248">
        <v>313</v>
      </c>
      <c r="G248">
        <v>935844.47</v>
      </c>
      <c r="H248">
        <v>292919319.11000001</v>
      </c>
    </row>
    <row r="249" spans="1:8" x14ac:dyDescent="0.25">
      <c r="A249" t="s">
        <v>507</v>
      </c>
      <c r="B249" t="s">
        <v>508</v>
      </c>
      <c r="C249" t="s">
        <v>14</v>
      </c>
      <c r="D249">
        <v>13</v>
      </c>
      <c r="E249" t="s">
        <v>11</v>
      </c>
      <c r="F249">
        <v>167</v>
      </c>
      <c r="G249">
        <v>106208.24</v>
      </c>
      <c r="H249">
        <v>17736776.079999998</v>
      </c>
    </row>
    <row r="250" spans="1:8" x14ac:dyDescent="0.25">
      <c r="A250" t="s">
        <v>509</v>
      </c>
      <c r="B250" t="s">
        <v>510</v>
      </c>
      <c r="C250" t="s">
        <v>26</v>
      </c>
      <c r="D250">
        <v>5</v>
      </c>
      <c r="E250" t="s">
        <v>11</v>
      </c>
      <c r="F250">
        <v>329</v>
      </c>
      <c r="G250">
        <v>3648623.15</v>
      </c>
      <c r="H250">
        <v>1200397016.3499999</v>
      </c>
    </row>
    <row r="251" spans="1:8" x14ac:dyDescent="0.25">
      <c r="A251" t="s">
        <v>511</v>
      </c>
      <c r="B251" t="s">
        <v>512</v>
      </c>
      <c r="C251" t="s">
        <v>10</v>
      </c>
      <c r="D251">
        <v>17</v>
      </c>
      <c r="E251" t="s">
        <v>11</v>
      </c>
      <c r="F251">
        <v>90</v>
      </c>
      <c r="G251">
        <v>502766.49</v>
      </c>
      <c r="H251">
        <v>45248984.100000001</v>
      </c>
    </row>
    <row r="252" spans="1:8" x14ac:dyDescent="0.25">
      <c r="A252" t="s">
        <v>513</v>
      </c>
      <c r="B252" t="s">
        <v>514</v>
      </c>
      <c r="C252" t="s">
        <v>26</v>
      </c>
      <c r="D252">
        <v>23</v>
      </c>
      <c r="E252" t="s">
        <v>11</v>
      </c>
      <c r="F252">
        <v>251</v>
      </c>
      <c r="G252">
        <v>2448983.23</v>
      </c>
      <c r="H252">
        <v>614694790.73000002</v>
      </c>
    </row>
    <row r="253" spans="1:8" x14ac:dyDescent="0.25">
      <c r="A253" t="s">
        <v>515</v>
      </c>
      <c r="B253" t="s">
        <v>516</v>
      </c>
      <c r="C253" t="s">
        <v>19</v>
      </c>
      <c r="D253">
        <v>10</v>
      </c>
      <c r="E253" t="s">
        <v>11</v>
      </c>
      <c r="F253">
        <v>357</v>
      </c>
      <c r="G253">
        <v>332230.59999999998</v>
      </c>
      <c r="H253">
        <v>118606324.2</v>
      </c>
    </row>
    <row r="254" spans="1:8" x14ac:dyDescent="0.25">
      <c r="A254" t="s">
        <v>517</v>
      </c>
      <c r="B254" t="s">
        <v>518</v>
      </c>
      <c r="C254" t="s">
        <v>26</v>
      </c>
      <c r="D254">
        <v>18</v>
      </c>
      <c r="E254" t="s">
        <v>11</v>
      </c>
      <c r="F254">
        <v>153</v>
      </c>
      <c r="G254">
        <v>2550604.4300000002</v>
      </c>
      <c r="H254">
        <v>390242477.79000002</v>
      </c>
    </row>
    <row r="255" spans="1:8" x14ac:dyDescent="0.25">
      <c r="A255" t="s">
        <v>519</v>
      </c>
      <c r="B255" t="s">
        <v>520</v>
      </c>
      <c r="C255" t="s">
        <v>10</v>
      </c>
      <c r="D255">
        <v>8</v>
      </c>
      <c r="E255" t="s">
        <v>11</v>
      </c>
      <c r="F255">
        <v>319</v>
      </c>
      <c r="G255">
        <v>287521.36</v>
      </c>
      <c r="H255">
        <v>91719313.840000004</v>
      </c>
    </row>
    <row r="256" spans="1:8" x14ac:dyDescent="0.25">
      <c r="A256" t="s">
        <v>521</v>
      </c>
      <c r="B256" t="s">
        <v>522</v>
      </c>
      <c r="C256" t="s">
        <v>10</v>
      </c>
      <c r="D256">
        <v>20</v>
      </c>
      <c r="E256" t="s">
        <v>11</v>
      </c>
      <c r="F256">
        <v>251</v>
      </c>
      <c r="G256">
        <v>424807.65</v>
      </c>
      <c r="H256">
        <v>106626720.15000001</v>
      </c>
    </row>
    <row r="257" spans="1:8" x14ac:dyDescent="0.25">
      <c r="A257" t="s">
        <v>523</v>
      </c>
      <c r="B257" t="s">
        <v>524</v>
      </c>
      <c r="C257" t="s">
        <v>14</v>
      </c>
      <c r="D257">
        <v>7</v>
      </c>
      <c r="E257" t="s">
        <v>11</v>
      </c>
      <c r="F257">
        <v>321</v>
      </c>
      <c r="G257">
        <v>874703.93</v>
      </c>
      <c r="H257">
        <v>280779961.52999997</v>
      </c>
    </row>
    <row r="258" spans="1:8" x14ac:dyDescent="0.25">
      <c r="A258" t="s">
        <v>525</v>
      </c>
      <c r="B258" t="s">
        <v>526</v>
      </c>
      <c r="C258" t="s">
        <v>10</v>
      </c>
      <c r="D258">
        <v>17</v>
      </c>
      <c r="E258" t="s">
        <v>11</v>
      </c>
      <c r="F258">
        <v>29</v>
      </c>
      <c r="G258">
        <v>1492295.9</v>
      </c>
      <c r="H258">
        <v>43276581.100000001</v>
      </c>
    </row>
    <row r="259" spans="1:8" x14ac:dyDescent="0.25">
      <c r="A259" t="s">
        <v>527</v>
      </c>
      <c r="B259" t="s">
        <v>528</v>
      </c>
      <c r="C259" t="s">
        <v>14</v>
      </c>
      <c r="D259">
        <v>17</v>
      </c>
      <c r="E259" t="s">
        <v>11</v>
      </c>
      <c r="F259">
        <v>97</v>
      </c>
      <c r="G259">
        <v>727493.91</v>
      </c>
      <c r="H259">
        <v>70566909.269999996</v>
      </c>
    </row>
    <row r="260" spans="1:8" x14ac:dyDescent="0.25">
      <c r="A260" t="s">
        <v>529</v>
      </c>
      <c r="B260" t="s">
        <v>530</v>
      </c>
      <c r="C260" t="s">
        <v>14</v>
      </c>
      <c r="D260">
        <v>15</v>
      </c>
      <c r="E260" t="s">
        <v>11</v>
      </c>
      <c r="F260">
        <v>79</v>
      </c>
      <c r="G260">
        <v>257288.04</v>
      </c>
      <c r="H260">
        <v>20325755.16</v>
      </c>
    </row>
    <row r="261" spans="1:8" x14ac:dyDescent="0.25">
      <c r="A261" t="s">
        <v>531</v>
      </c>
      <c r="B261" t="s">
        <v>532</v>
      </c>
      <c r="C261" t="s">
        <v>14</v>
      </c>
      <c r="D261">
        <v>13</v>
      </c>
      <c r="E261" t="s">
        <v>11</v>
      </c>
      <c r="F261">
        <v>300</v>
      </c>
      <c r="G261">
        <v>474979.78</v>
      </c>
      <c r="H261">
        <v>142493934</v>
      </c>
    </row>
    <row r="262" spans="1:8" x14ac:dyDescent="0.25">
      <c r="A262" t="s">
        <v>533</v>
      </c>
      <c r="B262" t="s">
        <v>534</v>
      </c>
      <c r="C262" t="s">
        <v>26</v>
      </c>
      <c r="D262">
        <v>13</v>
      </c>
      <c r="E262" t="s">
        <v>11</v>
      </c>
      <c r="F262">
        <v>194</v>
      </c>
      <c r="G262">
        <v>1606945.76</v>
      </c>
      <c r="H262">
        <v>311747477.44</v>
      </c>
    </row>
    <row r="263" spans="1:8" x14ac:dyDescent="0.25">
      <c r="A263" t="s">
        <v>535</v>
      </c>
      <c r="B263" t="s">
        <v>536</v>
      </c>
      <c r="C263" t="s">
        <v>26</v>
      </c>
      <c r="D263">
        <v>10</v>
      </c>
      <c r="E263" t="s">
        <v>11</v>
      </c>
      <c r="F263">
        <v>163</v>
      </c>
      <c r="G263">
        <v>1323934.3400000001</v>
      </c>
      <c r="H263">
        <v>215801297.41999999</v>
      </c>
    </row>
    <row r="264" spans="1:8" x14ac:dyDescent="0.25">
      <c r="A264" t="s">
        <v>537</v>
      </c>
      <c r="B264" t="s">
        <v>538</v>
      </c>
      <c r="C264" t="s">
        <v>14</v>
      </c>
      <c r="D264">
        <v>4</v>
      </c>
      <c r="E264" t="s">
        <v>11</v>
      </c>
      <c r="F264">
        <v>136</v>
      </c>
      <c r="G264">
        <v>212451.28</v>
      </c>
      <c r="H264">
        <v>28893374.079999998</v>
      </c>
    </row>
    <row r="265" spans="1:8" x14ac:dyDescent="0.25">
      <c r="A265" t="s">
        <v>539</v>
      </c>
      <c r="B265" t="s">
        <v>540</v>
      </c>
      <c r="C265" t="s">
        <v>10</v>
      </c>
      <c r="D265">
        <v>24</v>
      </c>
      <c r="E265" t="s">
        <v>11</v>
      </c>
      <c r="F265">
        <v>227</v>
      </c>
      <c r="G265">
        <v>1059516.52</v>
      </c>
      <c r="H265">
        <v>240510250.03999999</v>
      </c>
    </row>
    <row r="266" spans="1:8" x14ac:dyDescent="0.25">
      <c r="A266" t="s">
        <v>541</v>
      </c>
      <c r="B266" t="s">
        <v>542</v>
      </c>
      <c r="C266" t="s">
        <v>10</v>
      </c>
      <c r="D266">
        <v>19</v>
      </c>
      <c r="E266" t="s">
        <v>11</v>
      </c>
      <c r="F266">
        <v>297</v>
      </c>
      <c r="G266">
        <v>237863.48</v>
      </c>
      <c r="H266">
        <v>70645453.560000002</v>
      </c>
    </row>
    <row r="267" spans="1:8" x14ac:dyDescent="0.25">
      <c r="A267" t="s">
        <v>543</v>
      </c>
      <c r="B267" t="s">
        <v>544</v>
      </c>
      <c r="C267" t="s">
        <v>10</v>
      </c>
      <c r="D267">
        <v>6</v>
      </c>
      <c r="E267" t="s">
        <v>11</v>
      </c>
      <c r="F267">
        <v>278</v>
      </c>
      <c r="G267">
        <v>1255148.73</v>
      </c>
      <c r="H267">
        <v>348931346.94</v>
      </c>
    </row>
    <row r="268" spans="1:8" x14ac:dyDescent="0.25">
      <c r="A268" t="s">
        <v>545</v>
      </c>
      <c r="B268" t="s">
        <v>546</v>
      </c>
      <c r="C268" t="s">
        <v>19</v>
      </c>
      <c r="D268">
        <v>7</v>
      </c>
      <c r="E268" t="s">
        <v>11</v>
      </c>
      <c r="F268">
        <v>143</v>
      </c>
      <c r="G268">
        <v>138008.87</v>
      </c>
      <c r="H268">
        <v>19735268.41</v>
      </c>
    </row>
    <row r="269" spans="1:8" x14ac:dyDescent="0.25">
      <c r="A269" t="s">
        <v>547</v>
      </c>
      <c r="B269" t="s">
        <v>548</v>
      </c>
      <c r="C269" t="s">
        <v>19</v>
      </c>
      <c r="D269">
        <v>12</v>
      </c>
      <c r="E269" t="s">
        <v>11</v>
      </c>
      <c r="F269">
        <v>304</v>
      </c>
      <c r="G269">
        <v>518701.64</v>
      </c>
      <c r="H269">
        <v>157685298.56</v>
      </c>
    </row>
    <row r="270" spans="1:8" x14ac:dyDescent="0.25">
      <c r="A270" t="s">
        <v>549</v>
      </c>
      <c r="B270" t="s">
        <v>550</v>
      </c>
      <c r="C270" t="s">
        <v>10</v>
      </c>
      <c r="D270">
        <v>19</v>
      </c>
      <c r="E270" t="s">
        <v>11</v>
      </c>
      <c r="F270">
        <v>121</v>
      </c>
      <c r="G270">
        <v>807354.59</v>
      </c>
      <c r="H270">
        <v>97689905.390000001</v>
      </c>
    </row>
    <row r="271" spans="1:8" x14ac:dyDescent="0.25">
      <c r="A271" t="s">
        <v>551</v>
      </c>
      <c r="B271" t="s">
        <v>552</v>
      </c>
      <c r="C271" t="s">
        <v>10</v>
      </c>
      <c r="D271">
        <v>19</v>
      </c>
      <c r="E271" t="s">
        <v>11</v>
      </c>
      <c r="F271">
        <v>344</v>
      </c>
      <c r="G271">
        <v>1043680.75</v>
      </c>
      <c r="H271">
        <v>359026178</v>
      </c>
    </row>
    <row r="272" spans="1:8" x14ac:dyDescent="0.25">
      <c r="A272" t="s">
        <v>553</v>
      </c>
      <c r="B272" t="s">
        <v>554</v>
      </c>
      <c r="C272" t="s">
        <v>19</v>
      </c>
      <c r="D272">
        <v>22</v>
      </c>
      <c r="E272" t="s">
        <v>11</v>
      </c>
      <c r="F272">
        <v>78</v>
      </c>
      <c r="G272">
        <v>132976.82</v>
      </c>
      <c r="H272">
        <v>10372191.960000001</v>
      </c>
    </row>
    <row r="273" spans="1:8" x14ac:dyDescent="0.25">
      <c r="A273" t="s">
        <v>555</v>
      </c>
      <c r="B273" t="s">
        <v>556</v>
      </c>
      <c r="C273" t="s">
        <v>10</v>
      </c>
      <c r="D273">
        <v>22</v>
      </c>
      <c r="E273" t="s">
        <v>11</v>
      </c>
      <c r="F273">
        <v>254</v>
      </c>
      <c r="G273">
        <v>328882.33</v>
      </c>
      <c r="H273">
        <v>83536111.819999993</v>
      </c>
    </row>
    <row r="274" spans="1:8" x14ac:dyDescent="0.25">
      <c r="A274" t="s">
        <v>557</v>
      </c>
      <c r="B274" t="s">
        <v>558</v>
      </c>
      <c r="C274" t="s">
        <v>14</v>
      </c>
      <c r="D274">
        <v>19</v>
      </c>
      <c r="E274" t="s">
        <v>11</v>
      </c>
      <c r="F274">
        <v>315</v>
      </c>
      <c r="G274">
        <v>480258.03</v>
      </c>
      <c r="H274">
        <v>151281279.44999999</v>
      </c>
    </row>
    <row r="275" spans="1:8" x14ac:dyDescent="0.25">
      <c r="A275" t="s">
        <v>559</v>
      </c>
      <c r="B275" t="s">
        <v>560</v>
      </c>
      <c r="C275" t="s">
        <v>19</v>
      </c>
      <c r="D275">
        <v>6</v>
      </c>
      <c r="E275" t="s">
        <v>11</v>
      </c>
      <c r="F275">
        <v>150</v>
      </c>
      <c r="G275">
        <v>1700486.25</v>
      </c>
      <c r="H275">
        <v>255072937.5</v>
      </c>
    </row>
    <row r="276" spans="1:8" x14ac:dyDescent="0.25">
      <c r="A276" t="s">
        <v>561</v>
      </c>
      <c r="B276" t="s">
        <v>562</v>
      </c>
      <c r="C276" t="s">
        <v>19</v>
      </c>
      <c r="D276">
        <v>3</v>
      </c>
      <c r="E276" t="s">
        <v>11</v>
      </c>
      <c r="F276">
        <v>270</v>
      </c>
      <c r="G276">
        <v>1529357.11</v>
      </c>
      <c r="H276">
        <v>412926419.69999999</v>
      </c>
    </row>
    <row r="277" spans="1:8" x14ac:dyDescent="0.25">
      <c r="A277" t="s">
        <v>563</v>
      </c>
      <c r="B277" t="s">
        <v>564</v>
      </c>
      <c r="C277" t="s">
        <v>10</v>
      </c>
      <c r="D277">
        <v>16</v>
      </c>
      <c r="E277" t="s">
        <v>11</v>
      </c>
      <c r="F277">
        <v>312</v>
      </c>
      <c r="G277">
        <v>883968.69</v>
      </c>
      <c r="H277">
        <v>275798231.27999997</v>
      </c>
    </row>
    <row r="278" spans="1:8" x14ac:dyDescent="0.25">
      <c r="A278" t="s">
        <v>565</v>
      </c>
      <c r="B278" t="s">
        <v>566</v>
      </c>
      <c r="C278" t="s">
        <v>26</v>
      </c>
      <c r="D278">
        <v>23</v>
      </c>
      <c r="E278" t="s">
        <v>11</v>
      </c>
      <c r="F278">
        <v>313</v>
      </c>
      <c r="G278">
        <v>891078.55</v>
      </c>
      <c r="H278">
        <v>278907586.14999998</v>
      </c>
    </row>
    <row r="279" spans="1:8" x14ac:dyDescent="0.25">
      <c r="A279" t="s">
        <v>567</v>
      </c>
      <c r="B279" t="s">
        <v>568</v>
      </c>
      <c r="C279" t="s">
        <v>26</v>
      </c>
      <c r="D279">
        <v>24</v>
      </c>
      <c r="E279" t="s">
        <v>11</v>
      </c>
      <c r="F279">
        <v>360</v>
      </c>
      <c r="G279">
        <v>584029.47</v>
      </c>
      <c r="H279">
        <v>210250609.19999999</v>
      </c>
    </row>
    <row r="280" spans="1:8" x14ac:dyDescent="0.25">
      <c r="A280" t="s">
        <v>569</v>
      </c>
      <c r="B280" t="s">
        <v>570</v>
      </c>
      <c r="C280" t="s">
        <v>26</v>
      </c>
      <c r="D280">
        <v>10</v>
      </c>
      <c r="E280" t="s">
        <v>11</v>
      </c>
      <c r="F280">
        <v>200</v>
      </c>
      <c r="G280">
        <v>3497558.82</v>
      </c>
      <c r="H280">
        <v>699511764</v>
      </c>
    </row>
    <row r="281" spans="1:8" x14ac:dyDescent="0.25">
      <c r="A281" t="s">
        <v>571</v>
      </c>
      <c r="B281" t="s">
        <v>572</v>
      </c>
      <c r="C281" t="s">
        <v>26</v>
      </c>
      <c r="D281">
        <v>9</v>
      </c>
      <c r="E281" t="s">
        <v>11</v>
      </c>
      <c r="F281">
        <v>232</v>
      </c>
      <c r="G281">
        <v>1943622.83</v>
      </c>
      <c r="H281">
        <v>450920496.56</v>
      </c>
    </row>
    <row r="282" spans="1:8" x14ac:dyDescent="0.25">
      <c r="A282" t="s">
        <v>573</v>
      </c>
      <c r="B282" t="s">
        <v>574</v>
      </c>
      <c r="C282" t="s">
        <v>19</v>
      </c>
      <c r="D282">
        <v>19</v>
      </c>
      <c r="E282" t="s">
        <v>11</v>
      </c>
      <c r="F282">
        <v>307</v>
      </c>
      <c r="G282">
        <v>1348061.71</v>
      </c>
      <c r="H282">
        <v>413854944.97000003</v>
      </c>
    </row>
    <row r="283" spans="1:8" x14ac:dyDescent="0.25">
      <c r="A283" t="s">
        <v>575</v>
      </c>
      <c r="B283" t="s">
        <v>576</v>
      </c>
      <c r="C283" t="s">
        <v>10</v>
      </c>
      <c r="D283">
        <v>12</v>
      </c>
      <c r="E283" t="s">
        <v>11</v>
      </c>
      <c r="F283">
        <v>266</v>
      </c>
      <c r="G283">
        <v>564143.34</v>
      </c>
      <c r="H283">
        <v>150062128.44</v>
      </c>
    </row>
    <row r="284" spans="1:8" x14ac:dyDescent="0.25">
      <c r="A284" t="s">
        <v>577</v>
      </c>
      <c r="B284" t="s">
        <v>578</v>
      </c>
      <c r="C284" t="s">
        <v>19</v>
      </c>
      <c r="D284">
        <v>6</v>
      </c>
      <c r="E284" t="s">
        <v>11</v>
      </c>
      <c r="F284">
        <v>124</v>
      </c>
      <c r="G284">
        <v>1052144.57</v>
      </c>
      <c r="H284">
        <v>130465926.68000001</v>
      </c>
    </row>
    <row r="285" spans="1:8" x14ac:dyDescent="0.25">
      <c r="A285" t="s">
        <v>579</v>
      </c>
      <c r="B285" t="s">
        <v>580</v>
      </c>
      <c r="C285" t="s">
        <v>26</v>
      </c>
      <c r="D285">
        <v>10</v>
      </c>
      <c r="E285" t="s">
        <v>11</v>
      </c>
      <c r="F285">
        <v>214</v>
      </c>
      <c r="G285">
        <v>1164396.42</v>
      </c>
      <c r="H285">
        <v>249180833.88</v>
      </c>
    </row>
    <row r="286" spans="1:8" x14ac:dyDescent="0.25">
      <c r="A286" t="s">
        <v>581</v>
      </c>
      <c r="B286" t="s">
        <v>582</v>
      </c>
      <c r="C286" t="s">
        <v>26</v>
      </c>
      <c r="D286">
        <v>15</v>
      </c>
      <c r="E286" t="s">
        <v>11</v>
      </c>
      <c r="F286">
        <v>75</v>
      </c>
      <c r="G286">
        <v>3500357.26</v>
      </c>
      <c r="H286">
        <v>262526794.5</v>
      </c>
    </row>
    <row r="287" spans="1:8" x14ac:dyDescent="0.25">
      <c r="A287" t="s">
        <v>583</v>
      </c>
      <c r="B287" t="s">
        <v>584</v>
      </c>
      <c r="C287" t="s">
        <v>10</v>
      </c>
      <c r="D287">
        <v>7</v>
      </c>
      <c r="E287" t="s">
        <v>11</v>
      </c>
      <c r="F287">
        <v>122</v>
      </c>
      <c r="G287">
        <v>919840.95</v>
      </c>
      <c r="H287">
        <v>112220595.90000001</v>
      </c>
    </row>
    <row r="288" spans="1:8" x14ac:dyDescent="0.25">
      <c r="A288" t="s">
        <v>585</v>
      </c>
      <c r="B288" t="s">
        <v>586</v>
      </c>
      <c r="C288" t="s">
        <v>10</v>
      </c>
      <c r="D288">
        <v>14</v>
      </c>
      <c r="E288" t="s">
        <v>11</v>
      </c>
      <c r="F288">
        <v>112</v>
      </c>
      <c r="G288">
        <v>1506469.12</v>
      </c>
      <c r="H288">
        <v>168724541.44</v>
      </c>
    </row>
    <row r="289" spans="1:8" x14ac:dyDescent="0.25">
      <c r="A289" t="s">
        <v>587</v>
      </c>
      <c r="B289" t="s">
        <v>588</v>
      </c>
      <c r="C289" t="s">
        <v>14</v>
      </c>
      <c r="D289">
        <v>9</v>
      </c>
      <c r="E289" t="s">
        <v>11</v>
      </c>
      <c r="F289">
        <v>347</v>
      </c>
      <c r="G289">
        <v>913347.82</v>
      </c>
      <c r="H289">
        <v>316931693.54000002</v>
      </c>
    </row>
    <row r="290" spans="1:8" x14ac:dyDescent="0.25">
      <c r="A290" t="s">
        <v>589</v>
      </c>
      <c r="B290" t="s">
        <v>590</v>
      </c>
      <c r="C290" t="s">
        <v>26</v>
      </c>
      <c r="D290">
        <v>21</v>
      </c>
      <c r="E290" t="s">
        <v>11</v>
      </c>
      <c r="F290">
        <v>170</v>
      </c>
      <c r="G290">
        <v>1470715.68</v>
      </c>
      <c r="H290">
        <v>250021665.59999999</v>
      </c>
    </row>
    <row r="291" spans="1:8" x14ac:dyDescent="0.25">
      <c r="A291" t="s">
        <v>591</v>
      </c>
      <c r="B291" t="s">
        <v>592</v>
      </c>
      <c r="C291" t="s">
        <v>10</v>
      </c>
      <c r="D291">
        <v>20</v>
      </c>
      <c r="E291" t="s">
        <v>11</v>
      </c>
      <c r="F291">
        <v>283</v>
      </c>
      <c r="G291">
        <v>1006350.3</v>
      </c>
      <c r="H291">
        <v>284797134.89999998</v>
      </c>
    </row>
    <row r="292" spans="1:8" x14ac:dyDescent="0.25">
      <c r="A292" t="s">
        <v>593</v>
      </c>
      <c r="B292" t="s">
        <v>594</v>
      </c>
      <c r="C292" t="s">
        <v>19</v>
      </c>
      <c r="D292">
        <v>8</v>
      </c>
      <c r="E292" t="s">
        <v>11</v>
      </c>
      <c r="F292">
        <v>230</v>
      </c>
      <c r="G292">
        <v>586733.66</v>
      </c>
      <c r="H292">
        <v>134948741.80000001</v>
      </c>
    </row>
    <row r="293" spans="1:8" x14ac:dyDescent="0.25">
      <c r="A293" t="s">
        <v>595</v>
      </c>
      <c r="B293" t="s">
        <v>596</v>
      </c>
      <c r="C293" t="s">
        <v>26</v>
      </c>
      <c r="D293">
        <v>24</v>
      </c>
      <c r="E293" t="s">
        <v>11</v>
      </c>
      <c r="F293">
        <v>34</v>
      </c>
      <c r="G293">
        <v>3605904.06</v>
      </c>
      <c r="H293">
        <v>122600738.04000001</v>
      </c>
    </row>
    <row r="294" spans="1:8" x14ac:dyDescent="0.25">
      <c r="A294" t="s">
        <v>597</v>
      </c>
      <c r="B294" t="s">
        <v>598</v>
      </c>
      <c r="C294" t="s">
        <v>19</v>
      </c>
      <c r="D294">
        <v>4</v>
      </c>
      <c r="E294" t="s">
        <v>11</v>
      </c>
      <c r="F294">
        <v>237</v>
      </c>
      <c r="G294">
        <v>442550.7</v>
      </c>
      <c r="H294">
        <v>104884515.90000001</v>
      </c>
    </row>
    <row r="295" spans="1:8" x14ac:dyDescent="0.25">
      <c r="A295" t="s">
        <v>599</v>
      </c>
      <c r="B295" t="s">
        <v>600</v>
      </c>
      <c r="C295" t="s">
        <v>26</v>
      </c>
      <c r="D295">
        <v>10</v>
      </c>
      <c r="E295" t="s">
        <v>11</v>
      </c>
      <c r="F295">
        <v>72</v>
      </c>
      <c r="G295">
        <v>2472449.2200000002</v>
      </c>
      <c r="H295">
        <v>178016343.84</v>
      </c>
    </row>
    <row r="296" spans="1:8" x14ac:dyDescent="0.25">
      <c r="A296" t="s">
        <v>601</v>
      </c>
      <c r="B296" t="s">
        <v>602</v>
      </c>
      <c r="C296" t="s">
        <v>14</v>
      </c>
      <c r="D296">
        <v>6</v>
      </c>
      <c r="E296" t="s">
        <v>11</v>
      </c>
      <c r="F296">
        <v>261</v>
      </c>
      <c r="G296">
        <v>665249.52</v>
      </c>
      <c r="H296">
        <v>173630124.72</v>
      </c>
    </row>
    <row r="297" spans="1:8" x14ac:dyDescent="0.25">
      <c r="A297" t="s">
        <v>603</v>
      </c>
      <c r="B297" t="s">
        <v>604</v>
      </c>
      <c r="C297" t="s">
        <v>10</v>
      </c>
      <c r="D297">
        <v>23</v>
      </c>
      <c r="E297" t="s">
        <v>11</v>
      </c>
      <c r="F297">
        <v>300</v>
      </c>
      <c r="G297">
        <v>501400.26</v>
      </c>
      <c r="H297">
        <v>150420078</v>
      </c>
    </row>
    <row r="298" spans="1:8" x14ac:dyDescent="0.25">
      <c r="A298" t="s">
        <v>605</v>
      </c>
      <c r="B298" t="s">
        <v>606</v>
      </c>
      <c r="C298" t="s">
        <v>10</v>
      </c>
      <c r="D298">
        <v>14</v>
      </c>
      <c r="E298" t="s">
        <v>11</v>
      </c>
      <c r="F298">
        <v>347</v>
      </c>
      <c r="G298">
        <v>381415.73</v>
      </c>
      <c r="H298">
        <v>132351258.31</v>
      </c>
    </row>
    <row r="299" spans="1:8" x14ac:dyDescent="0.25">
      <c r="A299" t="s">
        <v>607</v>
      </c>
      <c r="B299" t="s">
        <v>608</v>
      </c>
      <c r="C299" t="s">
        <v>19</v>
      </c>
      <c r="D299">
        <v>4</v>
      </c>
      <c r="E299" t="s">
        <v>11</v>
      </c>
      <c r="F299">
        <v>40</v>
      </c>
      <c r="G299">
        <v>1962776.06</v>
      </c>
      <c r="H299">
        <v>78511042.400000006</v>
      </c>
    </row>
    <row r="300" spans="1:8" x14ac:dyDescent="0.25">
      <c r="A300" t="s">
        <v>609</v>
      </c>
      <c r="B300" t="s">
        <v>610</v>
      </c>
      <c r="C300" t="s">
        <v>14</v>
      </c>
      <c r="D300">
        <v>19</v>
      </c>
      <c r="E300" t="s">
        <v>11</v>
      </c>
      <c r="F300">
        <v>232</v>
      </c>
      <c r="G300">
        <v>426176.4</v>
      </c>
      <c r="H300">
        <v>98872924.799999997</v>
      </c>
    </row>
    <row r="301" spans="1:8" x14ac:dyDescent="0.25">
      <c r="A301" t="s">
        <v>611</v>
      </c>
      <c r="B301" t="s">
        <v>612</v>
      </c>
      <c r="C301" t="s">
        <v>10</v>
      </c>
      <c r="D301">
        <v>5</v>
      </c>
      <c r="E301" t="s">
        <v>11</v>
      </c>
      <c r="F301">
        <v>247</v>
      </c>
      <c r="G301">
        <v>1531553.53</v>
      </c>
      <c r="H301">
        <v>378293721.91000003</v>
      </c>
    </row>
    <row r="302" spans="1:8" x14ac:dyDescent="0.25">
      <c r="A302" t="s">
        <v>613</v>
      </c>
      <c r="B302" t="s">
        <v>614</v>
      </c>
      <c r="C302" t="s">
        <v>10</v>
      </c>
      <c r="D302">
        <v>18</v>
      </c>
      <c r="E302" t="s">
        <v>11</v>
      </c>
      <c r="F302">
        <v>173</v>
      </c>
      <c r="G302">
        <v>471196.94</v>
      </c>
      <c r="H302">
        <v>81517070.620000005</v>
      </c>
    </row>
    <row r="303" spans="1:8" x14ac:dyDescent="0.25">
      <c r="A303" t="s">
        <v>615</v>
      </c>
      <c r="B303" t="s">
        <v>616</v>
      </c>
      <c r="C303" t="s">
        <v>19</v>
      </c>
      <c r="D303">
        <v>9</v>
      </c>
      <c r="E303" t="s">
        <v>11</v>
      </c>
      <c r="F303">
        <v>202</v>
      </c>
      <c r="G303">
        <v>329532.11</v>
      </c>
      <c r="H303">
        <v>66565486.219999999</v>
      </c>
    </row>
    <row r="304" spans="1:8" x14ac:dyDescent="0.25">
      <c r="A304" t="s">
        <v>617</v>
      </c>
      <c r="B304" t="s">
        <v>618</v>
      </c>
      <c r="C304" t="s">
        <v>19</v>
      </c>
      <c r="D304">
        <v>20</v>
      </c>
      <c r="E304" t="s">
        <v>11</v>
      </c>
      <c r="F304">
        <v>101</v>
      </c>
      <c r="G304">
        <v>289976.15999999997</v>
      </c>
      <c r="H304">
        <v>29287592.16</v>
      </c>
    </row>
    <row r="305" spans="1:8" x14ac:dyDescent="0.25">
      <c r="A305" t="s">
        <v>619</v>
      </c>
      <c r="B305" t="s">
        <v>620</v>
      </c>
      <c r="C305" t="s">
        <v>10</v>
      </c>
      <c r="D305">
        <v>6</v>
      </c>
      <c r="E305" t="s">
        <v>11</v>
      </c>
      <c r="F305">
        <v>194</v>
      </c>
      <c r="G305">
        <v>1465552.82</v>
      </c>
      <c r="H305">
        <v>284317247.07999998</v>
      </c>
    </row>
    <row r="306" spans="1:8" x14ac:dyDescent="0.25">
      <c r="A306" t="s">
        <v>621</v>
      </c>
      <c r="B306" t="s">
        <v>622</v>
      </c>
      <c r="C306" t="s">
        <v>26</v>
      </c>
      <c r="D306">
        <v>11</v>
      </c>
      <c r="E306" t="s">
        <v>11</v>
      </c>
      <c r="F306">
        <v>95</v>
      </c>
      <c r="G306">
        <v>2139672.42</v>
      </c>
      <c r="H306">
        <v>203268879.90000001</v>
      </c>
    </row>
    <row r="307" spans="1:8" x14ac:dyDescent="0.25">
      <c r="A307" t="s">
        <v>623</v>
      </c>
      <c r="B307" t="s">
        <v>624</v>
      </c>
      <c r="C307" t="s">
        <v>26</v>
      </c>
      <c r="D307">
        <v>16</v>
      </c>
      <c r="E307" t="s">
        <v>11</v>
      </c>
      <c r="F307">
        <v>101</v>
      </c>
      <c r="G307">
        <v>3403354.02</v>
      </c>
      <c r="H307">
        <v>343738756.01999998</v>
      </c>
    </row>
    <row r="308" spans="1:8" x14ac:dyDescent="0.25">
      <c r="A308" t="s">
        <v>625</v>
      </c>
      <c r="B308" t="s">
        <v>626</v>
      </c>
      <c r="C308" t="s">
        <v>19</v>
      </c>
      <c r="D308">
        <v>20</v>
      </c>
      <c r="E308" t="s">
        <v>11</v>
      </c>
      <c r="F308">
        <v>366</v>
      </c>
      <c r="G308">
        <v>1043766.21</v>
      </c>
      <c r="H308">
        <v>382018432.86000001</v>
      </c>
    </row>
    <row r="309" spans="1:8" x14ac:dyDescent="0.25">
      <c r="A309" t="s">
        <v>627</v>
      </c>
      <c r="B309" t="s">
        <v>628</v>
      </c>
      <c r="C309" t="s">
        <v>19</v>
      </c>
      <c r="D309">
        <v>5</v>
      </c>
      <c r="E309" t="s">
        <v>11</v>
      </c>
      <c r="F309">
        <v>46</v>
      </c>
      <c r="G309">
        <v>1275128.49</v>
      </c>
      <c r="H309">
        <v>58655910.539999999</v>
      </c>
    </row>
    <row r="310" spans="1:8" x14ac:dyDescent="0.25">
      <c r="A310" t="s">
        <v>629</v>
      </c>
      <c r="B310" t="s">
        <v>630</v>
      </c>
      <c r="C310" t="s">
        <v>10</v>
      </c>
      <c r="D310">
        <v>8</v>
      </c>
      <c r="E310" t="s">
        <v>11</v>
      </c>
      <c r="F310">
        <v>122</v>
      </c>
      <c r="G310">
        <v>1226215.75</v>
      </c>
      <c r="H310">
        <v>149598321.5</v>
      </c>
    </row>
    <row r="311" spans="1:8" x14ac:dyDescent="0.25">
      <c r="A311" t="s">
        <v>631</v>
      </c>
      <c r="B311" t="s">
        <v>632</v>
      </c>
      <c r="C311" t="s">
        <v>19</v>
      </c>
      <c r="D311">
        <v>13</v>
      </c>
      <c r="E311" t="s">
        <v>11</v>
      </c>
      <c r="F311">
        <v>171</v>
      </c>
      <c r="G311">
        <v>1488871.74</v>
      </c>
      <c r="H311">
        <v>254597067.53999999</v>
      </c>
    </row>
    <row r="312" spans="1:8" x14ac:dyDescent="0.25">
      <c r="A312" t="s">
        <v>633</v>
      </c>
      <c r="B312" t="s">
        <v>634</v>
      </c>
      <c r="C312" t="s">
        <v>14</v>
      </c>
      <c r="D312">
        <v>19</v>
      </c>
      <c r="E312" t="s">
        <v>11</v>
      </c>
      <c r="F312">
        <v>163</v>
      </c>
      <c r="G312">
        <v>743115.29</v>
      </c>
      <c r="H312">
        <v>121127792.27</v>
      </c>
    </row>
    <row r="313" spans="1:8" x14ac:dyDescent="0.25">
      <c r="A313" t="s">
        <v>635</v>
      </c>
      <c r="B313" t="s">
        <v>636</v>
      </c>
      <c r="C313" t="s">
        <v>10</v>
      </c>
      <c r="D313">
        <v>24</v>
      </c>
      <c r="E313" t="s">
        <v>11</v>
      </c>
      <c r="F313">
        <v>337</v>
      </c>
      <c r="G313">
        <v>568811.5</v>
      </c>
      <c r="H313">
        <v>191689475.5</v>
      </c>
    </row>
    <row r="314" spans="1:8" x14ac:dyDescent="0.25">
      <c r="A314" t="s">
        <v>637</v>
      </c>
      <c r="B314" t="s">
        <v>638</v>
      </c>
      <c r="C314" t="s">
        <v>26</v>
      </c>
      <c r="D314">
        <v>5</v>
      </c>
      <c r="E314" t="s">
        <v>11</v>
      </c>
      <c r="F314">
        <v>140</v>
      </c>
      <c r="G314">
        <v>2937623.38</v>
      </c>
      <c r="H314">
        <v>411267273.19999999</v>
      </c>
    </row>
    <row r="315" spans="1:8" x14ac:dyDescent="0.25">
      <c r="A315" t="s">
        <v>639</v>
      </c>
      <c r="B315" t="s">
        <v>640</v>
      </c>
      <c r="C315" t="s">
        <v>14</v>
      </c>
      <c r="D315">
        <v>25</v>
      </c>
      <c r="E315" t="s">
        <v>11</v>
      </c>
      <c r="F315">
        <v>159</v>
      </c>
      <c r="G315">
        <v>245850.59</v>
      </c>
      <c r="H315">
        <v>39090243.810000002</v>
      </c>
    </row>
    <row r="316" spans="1:8" x14ac:dyDescent="0.25">
      <c r="A316" t="s">
        <v>641</v>
      </c>
      <c r="B316" t="s">
        <v>642</v>
      </c>
      <c r="C316" t="s">
        <v>19</v>
      </c>
      <c r="D316">
        <v>14</v>
      </c>
      <c r="E316" t="s">
        <v>11</v>
      </c>
      <c r="F316">
        <v>136</v>
      </c>
      <c r="G316">
        <v>1825131.88</v>
      </c>
      <c r="H316">
        <v>248217935.68000001</v>
      </c>
    </row>
    <row r="317" spans="1:8" x14ac:dyDescent="0.25">
      <c r="A317" t="s">
        <v>643</v>
      </c>
      <c r="B317" t="s">
        <v>644</v>
      </c>
      <c r="C317" t="s">
        <v>19</v>
      </c>
      <c r="D317">
        <v>19</v>
      </c>
      <c r="E317" t="s">
        <v>11</v>
      </c>
      <c r="F317">
        <v>353</v>
      </c>
      <c r="G317">
        <v>1228566.1200000001</v>
      </c>
      <c r="H317">
        <v>433683840.36000001</v>
      </c>
    </row>
    <row r="318" spans="1:8" x14ac:dyDescent="0.25">
      <c r="A318" t="s">
        <v>645</v>
      </c>
      <c r="B318" t="s">
        <v>646</v>
      </c>
      <c r="C318" t="s">
        <v>10</v>
      </c>
      <c r="D318">
        <v>6</v>
      </c>
      <c r="E318" t="s">
        <v>11</v>
      </c>
      <c r="F318">
        <v>165</v>
      </c>
      <c r="G318">
        <v>985101.68</v>
      </c>
      <c r="H318">
        <v>162541777.19999999</v>
      </c>
    </row>
    <row r="319" spans="1:8" x14ac:dyDescent="0.25">
      <c r="A319" t="s">
        <v>647</v>
      </c>
      <c r="B319" t="s">
        <v>648</v>
      </c>
      <c r="C319" t="s">
        <v>19</v>
      </c>
      <c r="D319">
        <v>13</v>
      </c>
      <c r="E319" t="s">
        <v>11</v>
      </c>
      <c r="F319">
        <v>266</v>
      </c>
      <c r="G319">
        <v>1790971.45</v>
      </c>
      <c r="H319">
        <v>476398405.69999999</v>
      </c>
    </row>
    <row r="320" spans="1:8" x14ac:dyDescent="0.25">
      <c r="A320" t="s">
        <v>649</v>
      </c>
      <c r="B320" t="s">
        <v>650</v>
      </c>
      <c r="C320" t="s">
        <v>10</v>
      </c>
      <c r="D320">
        <v>7</v>
      </c>
      <c r="E320" t="s">
        <v>11</v>
      </c>
      <c r="F320">
        <v>63</v>
      </c>
      <c r="G320">
        <v>584283.06000000006</v>
      </c>
      <c r="H320">
        <v>36809832.780000001</v>
      </c>
    </row>
    <row r="321" spans="1:8" x14ac:dyDescent="0.25">
      <c r="A321" t="s">
        <v>651</v>
      </c>
      <c r="B321" t="s">
        <v>652</v>
      </c>
      <c r="C321" t="s">
        <v>14</v>
      </c>
      <c r="D321">
        <v>24</v>
      </c>
      <c r="E321" t="s">
        <v>11</v>
      </c>
      <c r="F321">
        <v>218</v>
      </c>
      <c r="G321">
        <v>525449.9</v>
      </c>
      <c r="H321">
        <v>114548078.2</v>
      </c>
    </row>
    <row r="322" spans="1:8" x14ac:dyDescent="0.25">
      <c r="A322" t="s">
        <v>653</v>
      </c>
      <c r="B322" t="s">
        <v>654</v>
      </c>
      <c r="C322" t="s">
        <v>14</v>
      </c>
      <c r="D322">
        <v>21</v>
      </c>
      <c r="E322" t="s">
        <v>11</v>
      </c>
      <c r="F322">
        <v>180</v>
      </c>
      <c r="G322">
        <v>1020194.69</v>
      </c>
      <c r="H322">
        <v>183635044.19999999</v>
      </c>
    </row>
    <row r="323" spans="1:8" x14ac:dyDescent="0.25">
      <c r="A323" t="s">
        <v>655</v>
      </c>
      <c r="B323" t="s">
        <v>656</v>
      </c>
      <c r="C323" t="s">
        <v>19</v>
      </c>
      <c r="D323">
        <v>24</v>
      </c>
      <c r="E323" t="s">
        <v>11</v>
      </c>
      <c r="F323">
        <v>258</v>
      </c>
      <c r="G323">
        <v>786735.62</v>
      </c>
      <c r="H323">
        <v>202977789.96000001</v>
      </c>
    </row>
    <row r="324" spans="1:8" x14ac:dyDescent="0.25">
      <c r="A324" t="s">
        <v>657</v>
      </c>
      <c r="B324" t="s">
        <v>658</v>
      </c>
      <c r="C324" t="s">
        <v>19</v>
      </c>
      <c r="D324">
        <v>5</v>
      </c>
      <c r="E324" t="s">
        <v>11</v>
      </c>
      <c r="F324">
        <v>35</v>
      </c>
      <c r="G324">
        <v>874230.98</v>
      </c>
      <c r="H324">
        <v>30598084.300000001</v>
      </c>
    </row>
    <row r="325" spans="1:8" x14ac:dyDescent="0.25">
      <c r="A325" t="s">
        <v>659</v>
      </c>
      <c r="B325" t="s">
        <v>660</v>
      </c>
      <c r="C325" t="s">
        <v>14</v>
      </c>
      <c r="D325">
        <v>11</v>
      </c>
      <c r="E325" t="s">
        <v>11</v>
      </c>
      <c r="F325">
        <v>194</v>
      </c>
      <c r="G325">
        <v>1189535.69</v>
      </c>
      <c r="H325">
        <v>230769923.86000001</v>
      </c>
    </row>
    <row r="326" spans="1:8" x14ac:dyDescent="0.25">
      <c r="A326" t="s">
        <v>661</v>
      </c>
      <c r="B326" t="s">
        <v>662</v>
      </c>
      <c r="C326" t="s">
        <v>26</v>
      </c>
      <c r="D326">
        <v>9</v>
      </c>
      <c r="E326" t="s">
        <v>11</v>
      </c>
      <c r="F326">
        <v>133</v>
      </c>
      <c r="G326">
        <v>3389844.58</v>
      </c>
      <c r="H326">
        <v>450849329.13999999</v>
      </c>
    </row>
    <row r="327" spans="1:8" x14ac:dyDescent="0.25">
      <c r="A327" t="s">
        <v>663</v>
      </c>
      <c r="B327" t="s">
        <v>664</v>
      </c>
      <c r="C327" t="s">
        <v>10</v>
      </c>
      <c r="D327">
        <v>21</v>
      </c>
      <c r="E327" t="s">
        <v>11</v>
      </c>
      <c r="F327">
        <v>208</v>
      </c>
      <c r="G327">
        <v>1410459.44</v>
      </c>
      <c r="H327">
        <v>293375563.51999998</v>
      </c>
    </row>
    <row r="328" spans="1:8" x14ac:dyDescent="0.25">
      <c r="A328" t="s">
        <v>665</v>
      </c>
      <c r="B328" t="s">
        <v>666</v>
      </c>
      <c r="C328" t="s">
        <v>10</v>
      </c>
      <c r="D328">
        <v>9</v>
      </c>
      <c r="E328" t="s">
        <v>11</v>
      </c>
      <c r="F328">
        <v>203</v>
      </c>
      <c r="G328">
        <v>468654.97</v>
      </c>
      <c r="H328">
        <v>95136958.909999996</v>
      </c>
    </row>
    <row r="329" spans="1:8" x14ac:dyDescent="0.25">
      <c r="A329" t="s">
        <v>667</v>
      </c>
      <c r="B329" t="s">
        <v>668</v>
      </c>
      <c r="C329" t="s">
        <v>26</v>
      </c>
      <c r="D329">
        <v>19</v>
      </c>
      <c r="E329" t="s">
        <v>11</v>
      </c>
      <c r="F329">
        <v>303</v>
      </c>
      <c r="G329">
        <v>3679047.09</v>
      </c>
      <c r="H329">
        <v>1114751268.27</v>
      </c>
    </row>
    <row r="330" spans="1:8" x14ac:dyDescent="0.25">
      <c r="A330" t="s">
        <v>669</v>
      </c>
      <c r="B330" t="s">
        <v>670</v>
      </c>
      <c r="C330" t="s">
        <v>10</v>
      </c>
      <c r="D330">
        <v>19</v>
      </c>
      <c r="E330" t="s">
        <v>11</v>
      </c>
      <c r="F330">
        <v>282</v>
      </c>
      <c r="G330">
        <v>82439.67</v>
      </c>
      <c r="H330">
        <v>23247986.940000001</v>
      </c>
    </row>
    <row r="331" spans="1:8" x14ac:dyDescent="0.25">
      <c r="A331" t="s">
        <v>671</v>
      </c>
      <c r="B331" t="s">
        <v>672</v>
      </c>
      <c r="C331" t="s">
        <v>19</v>
      </c>
      <c r="D331">
        <v>3</v>
      </c>
      <c r="E331" t="s">
        <v>11</v>
      </c>
      <c r="F331">
        <v>55</v>
      </c>
      <c r="G331">
        <v>318043.42</v>
      </c>
      <c r="H331">
        <v>17492388.100000001</v>
      </c>
    </row>
    <row r="332" spans="1:8" x14ac:dyDescent="0.25">
      <c r="A332" t="s">
        <v>673</v>
      </c>
      <c r="B332" t="s">
        <v>674</v>
      </c>
      <c r="C332" t="s">
        <v>10</v>
      </c>
      <c r="D332">
        <v>19</v>
      </c>
      <c r="E332" t="s">
        <v>11</v>
      </c>
      <c r="F332">
        <v>93</v>
      </c>
      <c r="G332">
        <v>838921.19</v>
      </c>
      <c r="H332">
        <v>78019670.670000002</v>
      </c>
    </row>
    <row r="333" spans="1:8" x14ac:dyDescent="0.25">
      <c r="A333" t="s">
        <v>675</v>
      </c>
      <c r="B333" t="s">
        <v>676</v>
      </c>
      <c r="C333" t="s">
        <v>19</v>
      </c>
      <c r="D333">
        <v>17</v>
      </c>
      <c r="E333" t="s">
        <v>11</v>
      </c>
      <c r="F333">
        <v>106</v>
      </c>
      <c r="G333">
        <v>471296.83</v>
      </c>
      <c r="H333">
        <v>49957463.979999997</v>
      </c>
    </row>
    <row r="334" spans="1:8" x14ac:dyDescent="0.25">
      <c r="A334" t="s">
        <v>677</v>
      </c>
      <c r="B334" t="s">
        <v>678</v>
      </c>
      <c r="C334" t="s">
        <v>26</v>
      </c>
      <c r="D334">
        <v>23</v>
      </c>
      <c r="E334" t="s">
        <v>11</v>
      </c>
      <c r="F334">
        <v>165</v>
      </c>
      <c r="G334">
        <v>489460.95</v>
      </c>
      <c r="H334">
        <v>80761056.75</v>
      </c>
    </row>
    <row r="335" spans="1:8" x14ac:dyDescent="0.25">
      <c r="A335" t="s">
        <v>679</v>
      </c>
      <c r="B335" t="s">
        <v>680</v>
      </c>
      <c r="C335" t="s">
        <v>19</v>
      </c>
      <c r="D335">
        <v>9</v>
      </c>
      <c r="E335" t="s">
        <v>11</v>
      </c>
      <c r="F335">
        <v>18</v>
      </c>
      <c r="G335">
        <v>1675392.36</v>
      </c>
      <c r="H335">
        <v>30157062.48</v>
      </c>
    </row>
    <row r="336" spans="1:8" x14ac:dyDescent="0.25">
      <c r="A336" t="s">
        <v>681</v>
      </c>
      <c r="B336" t="s">
        <v>682</v>
      </c>
      <c r="C336" t="s">
        <v>26</v>
      </c>
      <c r="D336">
        <v>11</v>
      </c>
      <c r="E336" t="s">
        <v>11</v>
      </c>
      <c r="F336">
        <v>225</v>
      </c>
      <c r="G336">
        <v>2628463.02</v>
      </c>
      <c r="H336">
        <v>591404179.5</v>
      </c>
    </row>
    <row r="337" spans="1:8" x14ac:dyDescent="0.25">
      <c r="A337" t="s">
        <v>683</v>
      </c>
      <c r="B337" t="s">
        <v>684</v>
      </c>
      <c r="C337" t="s">
        <v>10</v>
      </c>
      <c r="D337">
        <v>23</v>
      </c>
      <c r="E337" t="s">
        <v>11</v>
      </c>
      <c r="F337">
        <v>212</v>
      </c>
      <c r="G337">
        <v>1288335.72</v>
      </c>
      <c r="H337">
        <v>273127172.63999999</v>
      </c>
    </row>
    <row r="338" spans="1:8" x14ac:dyDescent="0.25">
      <c r="A338" t="s">
        <v>685</v>
      </c>
      <c r="B338" t="s">
        <v>686</v>
      </c>
      <c r="C338" t="s">
        <v>14</v>
      </c>
      <c r="D338">
        <v>7</v>
      </c>
      <c r="E338" t="s">
        <v>11</v>
      </c>
      <c r="F338">
        <v>74</v>
      </c>
      <c r="G338">
        <v>1129585.73</v>
      </c>
      <c r="H338">
        <v>83589344.019999996</v>
      </c>
    </row>
    <row r="339" spans="1:8" x14ac:dyDescent="0.25">
      <c r="A339" t="s">
        <v>687</v>
      </c>
      <c r="B339" t="s">
        <v>688</v>
      </c>
      <c r="C339" t="s">
        <v>19</v>
      </c>
      <c r="D339">
        <v>17</v>
      </c>
      <c r="E339" t="s">
        <v>11</v>
      </c>
      <c r="F339">
        <v>81</v>
      </c>
      <c r="G339">
        <v>1866909.03</v>
      </c>
      <c r="H339">
        <v>151219631.43000001</v>
      </c>
    </row>
    <row r="340" spans="1:8" x14ac:dyDescent="0.25">
      <c r="A340" t="s">
        <v>689</v>
      </c>
      <c r="B340" t="s">
        <v>690</v>
      </c>
      <c r="C340" t="s">
        <v>10</v>
      </c>
      <c r="D340">
        <v>24</v>
      </c>
      <c r="E340" t="s">
        <v>11</v>
      </c>
      <c r="F340">
        <v>307</v>
      </c>
      <c r="G340">
        <v>1095254.26</v>
      </c>
      <c r="H340">
        <v>336243057.81999999</v>
      </c>
    </row>
    <row r="341" spans="1:8" x14ac:dyDescent="0.25">
      <c r="A341" t="s">
        <v>691</v>
      </c>
      <c r="B341" t="s">
        <v>692</v>
      </c>
      <c r="C341" t="s">
        <v>19</v>
      </c>
      <c r="D341">
        <v>3</v>
      </c>
      <c r="E341" t="s">
        <v>11</v>
      </c>
      <c r="F341">
        <v>293</v>
      </c>
      <c r="G341">
        <v>699753.36</v>
      </c>
      <c r="H341">
        <v>205027734.47999999</v>
      </c>
    </row>
    <row r="342" spans="1:8" x14ac:dyDescent="0.25">
      <c r="A342" t="s">
        <v>693</v>
      </c>
      <c r="B342" t="s">
        <v>694</v>
      </c>
      <c r="C342" t="s">
        <v>14</v>
      </c>
      <c r="D342">
        <v>13</v>
      </c>
      <c r="E342" t="s">
        <v>11</v>
      </c>
      <c r="F342">
        <v>27</v>
      </c>
      <c r="G342">
        <v>181824.19</v>
      </c>
      <c r="H342">
        <v>4909253.13</v>
      </c>
    </row>
    <row r="343" spans="1:8" x14ac:dyDescent="0.25">
      <c r="A343" t="s">
        <v>695</v>
      </c>
      <c r="B343" t="s">
        <v>696</v>
      </c>
      <c r="C343" t="s">
        <v>19</v>
      </c>
      <c r="D343">
        <v>21</v>
      </c>
      <c r="E343" t="s">
        <v>11</v>
      </c>
      <c r="F343">
        <v>68</v>
      </c>
      <c r="G343">
        <v>224798.56</v>
      </c>
      <c r="H343">
        <v>15286302.08</v>
      </c>
    </row>
    <row r="344" spans="1:8" x14ac:dyDescent="0.25">
      <c r="A344" t="s">
        <v>697</v>
      </c>
      <c r="B344" t="s">
        <v>698</v>
      </c>
      <c r="C344" t="s">
        <v>26</v>
      </c>
      <c r="D344">
        <v>20</v>
      </c>
      <c r="E344" t="s">
        <v>11</v>
      </c>
      <c r="F344">
        <v>305</v>
      </c>
      <c r="G344">
        <v>1318773.95</v>
      </c>
      <c r="H344">
        <v>402226054.75</v>
      </c>
    </row>
    <row r="345" spans="1:8" x14ac:dyDescent="0.25">
      <c r="A345" t="s">
        <v>699</v>
      </c>
      <c r="B345" t="s">
        <v>700</v>
      </c>
      <c r="C345" t="s">
        <v>19</v>
      </c>
      <c r="D345">
        <v>17</v>
      </c>
      <c r="E345" t="s">
        <v>11</v>
      </c>
      <c r="F345">
        <v>263</v>
      </c>
      <c r="G345">
        <v>61420.25</v>
      </c>
      <c r="H345">
        <v>16153525.75</v>
      </c>
    </row>
    <row r="346" spans="1:8" x14ac:dyDescent="0.25">
      <c r="A346" t="s">
        <v>701</v>
      </c>
      <c r="B346" t="s">
        <v>702</v>
      </c>
      <c r="C346" t="s">
        <v>19</v>
      </c>
      <c r="D346">
        <v>6</v>
      </c>
      <c r="E346" t="s">
        <v>11</v>
      </c>
      <c r="F346">
        <v>295</v>
      </c>
      <c r="G346">
        <v>785965.05</v>
      </c>
      <c r="H346">
        <v>231859689.75</v>
      </c>
    </row>
    <row r="347" spans="1:8" x14ac:dyDescent="0.25">
      <c r="A347" t="s">
        <v>703</v>
      </c>
      <c r="B347" t="s">
        <v>704</v>
      </c>
      <c r="C347" t="s">
        <v>19</v>
      </c>
      <c r="D347">
        <v>20</v>
      </c>
      <c r="E347" t="s">
        <v>11</v>
      </c>
      <c r="F347">
        <v>270</v>
      </c>
      <c r="G347">
        <v>1509402.18</v>
      </c>
      <c r="H347">
        <v>407538588.60000002</v>
      </c>
    </row>
    <row r="348" spans="1:8" x14ac:dyDescent="0.25">
      <c r="A348" t="s">
        <v>705</v>
      </c>
      <c r="B348" t="s">
        <v>706</v>
      </c>
      <c r="C348" t="s">
        <v>10</v>
      </c>
      <c r="D348">
        <v>18</v>
      </c>
      <c r="E348" t="s">
        <v>11</v>
      </c>
      <c r="F348">
        <v>50</v>
      </c>
      <c r="G348">
        <v>1564011.31</v>
      </c>
      <c r="H348">
        <v>78200565.5</v>
      </c>
    </row>
    <row r="349" spans="1:8" x14ac:dyDescent="0.25">
      <c r="A349" t="s">
        <v>707</v>
      </c>
      <c r="B349" t="s">
        <v>708</v>
      </c>
      <c r="C349" t="s">
        <v>14</v>
      </c>
      <c r="D349">
        <v>3</v>
      </c>
      <c r="E349" t="s">
        <v>11</v>
      </c>
      <c r="F349">
        <v>224</v>
      </c>
      <c r="G349">
        <v>539288.26</v>
      </c>
      <c r="H349">
        <v>120800570.23999999</v>
      </c>
    </row>
    <row r="350" spans="1:8" x14ac:dyDescent="0.25">
      <c r="A350" t="s">
        <v>709</v>
      </c>
      <c r="B350" t="s">
        <v>710</v>
      </c>
      <c r="C350" t="s">
        <v>10</v>
      </c>
      <c r="D350">
        <v>21</v>
      </c>
      <c r="E350" t="s">
        <v>11</v>
      </c>
      <c r="F350">
        <v>312</v>
      </c>
      <c r="G350">
        <v>1421352.25</v>
      </c>
      <c r="H350">
        <v>443461902</v>
      </c>
    </row>
    <row r="351" spans="1:8" x14ac:dyDescent="0.25">
      <c r="A351" t="s">
        <v>711</v>
      </c>
      <c r="B351" t="s">
        <v>712</v>
      </c>
      <c r="C351" t="s">
        <v>26</v>
      </c>
      <c r="D351">
        <v>11</v>
      </c>
      <c r="E351" t="s">
        <v>11</v>
      </c>
      <c r="F351">
        <v>47</v>
      </c>
      <c r="G351">
        <v>3126933.55</v>
      </c>
      <c r="H351">
        <v>146965876.84999999</v>
      </c>
    </row>
    <row r="352" spans="1:8" x14ac:dyDescent="0.25">
      <c r="A352" t="s">
        <v>713</v>
      </c>
      <c r="B352" t="s">
        <v>714</v>
      </c>
      <c r="C352" t="s">
        <v>26</v>
      </c>
      <c r="D352">
        <v>7</v>
      </c>
      <c r="E352" t="s">
        <v>11</v>
      </c>
      <c r="F352">
        <v>31</v>
      </c>
      <c r="G352">
        <v>3391288.47</v>
      </c>
      <c r="H352">
        <v>105129942.56999999</v>
      </c>
    </row>
    <row r="353" spans="1:8" x14ac:dyDescent="0.25">
      <c r="A353" t="s">
        <v>715</v>
      </c>
      <c r="B353" t="s">
        <v>716</v>
      </c>
      <c r="C353" t="s">
        <v>26</v>
      </c>
      <c r="D353">
        <v>10</v>
      </c>
      <c r="E353" t="s">
        <v>11</v>
      </c>
      <c r="F353">
        <v>52</v>
      </c>
      <c r="G353">
        <v>2918474.99</v>
      </c>
      <c r="H353">
        <v>151760699.47999999</v>
      </c>
    </row>
    <row r="354" spans="1:8" x14ac:dyDescent="0.25">
      <c r="A354" t="s">
        <v>717</v>
      </c>
      <c r="B354" t="s">
        <v>718</v>
      </c>
      <c r="C354" t="s">
        <v>26</v>
      </c>
      <c r="D354">
        <v>22</v>
      </c>
      <c r="E354" t="s">
        <v>11</v>
      </c>
      <c r="F354">
        <v>369</v>
      </c>
      <c r="G354">
        <v>3554093.83</v>
      </c>
      <c r="H354">
        <v>1311460623.27</v>
      </c>
    </row>
    <row r="355" spans="1:8" x14ac:dyDescent="0.25">
      <c r="A355" t="s">
        <v>719</v>
      </c>
      <c r="B355" t="s">
        <v>720</v>
      </c>
      <c r="C355" t="s">
        <v>19</v>
      </c>
      <c r="D355">
        <v>5</v>
      </c>
      <c r="E355" t="s">
        <v>11</v>
      </c>
      <c r="F355">
        <v>138</v>
      </c>
      <c r="G355">
        <v>399961.57</v>
      </c>
      <c r="H355">
        <v>55194696.659999996</v>
      </c>
    </row>
    <row r="356" spans="1:8" x14ac:dyDescent="0.25">
      <c r="A356" t="s">
        <v>721</v>
      </c>
      <c r="B356" t="s">
        <v>722</v>
      </c>
      <c r="C356" t="s">
        <v>10</v>
      </c>
      <c r="D356">
        <v>19</v>
      </c>
      <c r="E356" t="s">
        <v>11</v>
      </c>
      <c r="F356">
        <v>208</v>
      </c>
      <c r="G356">
        <v>840355.48</v>
      </c>
      <c r="H356">
        <v>174793939.84</v>
      </c>
    </row>
    <row r="357" spans="1:8" x14ac:dyDescent="0.25">
      <c r="A357" t="s">
        <v>723</v>
      </c>
      <c r="B357" t="s">
        <v>724</v>
      </c>
      <c r="C357" t="s">
        <v>26</v>
      </c>
      <c r="D357">
        <v>22</v>
      </c>
      <c r="E357" t="s">
        <v>11</v>
      </c>
      <c r="F357">
        <v>229</v>
      </c>
      <c r="G357">
        <v>3791899.51</v>
      </c>
      <c r="H357">
        <v>868344987.78999996</v>
      </c>
    </row>
    <row r="358" spans="1:8" x14ac:dyDescent="0.25">
      <c r="A358" t="s">
        <v>725</v>
      </c>
      <c r="B358" t="s">
        <v>726</v>
      </c>
      <c r="C358" t="s">
        <v>19</v>
      </c>
      <c r="D358">
        <v>23</v>
      </c>
      <c r="E358" t="s">
        <v>11</v>
      </c>
      <c r="F358">
        <v>57</v>
      </c>
      <c r="G358">
        <v>1161688.58</v>
      </c>
      <c r="H358">
        <v>66216249.060000002</v>
      </c>
    </row>
    <row r="359" spans="1:8" x14ac:dyDescent="0.25">
      <c r="A359" t="s">
        <v>727</v>
      </c>
      <c r="B359" t="s">
        <v>728</v>
      </c>
      <c r="C359" t="s">
        <v>19</v>
      </c>
      <c r="D359">
        <v>12</v>
      </c>
      <c r="E359" t="s">
        <v>11</v>
      </c>
      <c r="F359">
        <v>38</v>
      </c>
      <c r="G359">
        <v>477615.76</v>
      </c>
      <c r="H359">
        <v>18149398.879999999</v>
      </c>
    </row>
    <row r="360" spans="1:8" x14ac:dyDescent="0.25">
      <c r="A360" t="s">
        <v>729</v>
      </c>
      <c r="B360" t="s">
        <v>730</v>
      </c>
      <c r="C360" t="s">
        <v>10</v>
      </c>
      <c r="D360">
        <v>16</v>
      </c>
      <c r="E360" t="s">
        <v>11</v>
      </c>
      <c r="F360">
        <v>269</v>
      </c>
      <c r="G360">
        <v>341482.44</v>
      </c>
      <c r="H360">
        <v>91858776.359999999</v>
      </c>
    </row>
    <row r="361" spans="1:8" x14ac:dyDescent="0.25">
      <c r="A361" t="s">
        <v>731</v>
      </c>
      <c r="B361" t="s">
        <v>732</v>
      </c>
      <c r="C361" t="s">
        <v>26</v>
      </c>
      <c r="D361">
        <v>8</v>
      </c>
      <c r="E361" t="s">
        <v>11</v>
      </c>
      <c r="F361">
        <v>133</v>
      </c>
      <c r="G361">
        <v>1551757.41</v>
      </c>
      <c r="H361">
        <v>206383735.53</v>
      </c>
    </row>
    <row r="362" spans="1:8" x14ac:dyDescent="0.25">
      <c r="A362" t="s">
        <v>733</v>
      </c>
      <c r="B362" t="s">
        <v>734</v>
      </c>
      <c r="C362" t="s">
        <v>14</v>
      </c>
      <c r="D362">
        <v>25</v>
      </c>
      <c r="E362" t="s">
        <v>11</v>
      </c>
      <c r="F362">
        <v>357</v>
      </c>
      <c r="G362">
        <v>337757.28</v>
      </c>
      <c r="H362">
        <v>120579348.95999999</v>
      </c>
    </row>
    <row r="363" spans="1:8" x14ac:dyDescent="0.25">
      <c r="A363" t="s">
        <v>735</v>
      </c>
      <c r="B363" t="s">
        <v>736</v>
      </c>
      <c r="C363" t="s">
        <v>19</v>
      </c>
      <c r="D363">
        <v>13</v>
      </c>
      <c r="E363" t="s">
        <v>11</v>
      </c>
      <c r="F363">
        <v>355</v>
      </c>
      <c r="G363">
        <v>1408813.71</v>
      </c>
      <c r="H363">
        <v>500128867.05000001</v>
      </c>
    </row>
    <row r="364" spans="1:8" x14ac:dyDescent="0.25">
      <c r="A364" t="s">
        <v>737</v>
      </c>
      <c r="B364" t="s">
        <v>738</v>
      </c>
      <c r="C364" t="s">
        <v>14</v>
      </c>
      <c r="D364">
        <v>23</v>
      </c>
      <c r="E364" t="s">
        <v>11</v>
      </c>
      <c r="F364">
        <v>119</v>
      </c>
      <c r="G364">
        <v>1135529.1000000001</v>
      </c>
      <c r="H364">
        <v>135127962.90000001</v>
      </c>
    </row>
    <row r="365" spans="1:8" x14ac:dyDescent="0.25">
      <c r="A365" t="s">
        <v>739</v>
      </c>
      <c r="B365" t="s">
        <v>740</v>
      </c>
      <c r="C365" t="s">
        <v>14</v>
      </c>
      <c r="D365">
        <v>16</v>
      </c>
      <c r="E365" t="s">
        <v>11</v>
      </c>
      <c r="F365">
        <v>262</v>
      </c>
      <c r="G365">
        <v>152044.41</v>
      </c>
      <c r="H365">
        <v>39835635.420000002</v>
      </c>
    </row>
    <row r="366" spans="1:8" x14ac:dyDescent="0.25">
      <c r="A366" t="s">
        <v>741</v>
      </c>
      <c r="B366" t="s">
        <v>742</v>
      </c>
      <c r="C366" t="s">
        <v>19</v>
      </c>
      <c r="D366">
        <v>16</v>
      </c>
      <c r="E366" t="s">
        <v>11</v>
      </c>
      <c r="F366">
        <v>282</v>
      </c>
      <c r="G366">
        <v>795924.25</v>
      </c>
      <c r="H366">
        <v>224450638.5</v>
      </c>
    </row>
    <row r="367" spans="1:8" x14ac:dyDescent="0.25">
      <c r="A367" t="s">
        <v>743</v>
      </c>
      <c r="B367" t="s">
        <v>744</v>
      </c>
      <c r="C367" t="s">
        <v>14</v>
      </c>
      <c r="D367">
        <v>10</v>
      </c>
      <c r="E367" t="s">
        <v>11</v>
      </c>
      <c r="F367">
        <v>103</v>
      </c>
      <c r="G367">
        <v>886836.42</v>
      </c>
      <c r="H367">
        <v>91344151.260000005</v>
      </c>
    </row>
    <row r="368" spans="1:8" x14ac:dyDescent="0.25">
      <c r="A368" t="s">
        <v>745</v>
      </c>
      <c r="B368" t="s">
        <v>746</v>
      </c>
      <c r="C368" t="s">
        <v>19</v>
      </c>
      <c r="D368">
        <v>9</v>
      </c>
      <c r="E368" t="s">
        <v>11</v>
      </c>
      <c r="F368">
        <v>319</v>
      </c>
      <c r="G368">
        <v>1059879.51</v>
      </c>
      <c r="H368">
        <v>338101563.69</v>
      </c>
    </row>
    <row r="369" spans="1:8" x14ac:dyDescent="0.25">
      <c r="A369" t="s">
        <v>747</v>
      </c>
      <c r="B369" t="s">
        <v>748</v>
      </c>
      <c r="C369" t="s">
        <v>19</v>
      </c>
      <c r="D369">
        <v>5</v>
      </c>
      <c r="E369" t="s">
        <v>11</v>
      </c>
      <c r="F369">
        <v>123</v>
      </c>
      <c r="G369">
        <v>500152.27</v>
      </c>
      <c r="H369">
        <v>61518729.210000001</v>
      </c>
    </row>
    <row r="370" spans="1:8" x14ac:dyDescent="0.25">
      <c r="A370" t="s">
        <v>749</v>
      </c>
      <c r="B370" t="s">
        <v>750</v>
      </c>
      <c r="C370" t="s">
        <v>19</v>
      </c>
      <c r="D370">
        <v>22</v>
      </c>
      <c r="E370" t="s">
        <v>11</v>
      </c>
      <c r="F370">
        <v>230</v>
      </c>
      <c r="G370">
        <v>244017.52</v>
      </c>
      <c r="H370">
        <v>56124029.600000001</v>
      </c>
    </row>
    <row r="371" spans="1:8" x14ac:dyDescent="0.25">
      <c r="A371" t="s">
        <v>751</v>
      </c>
      <c r="B371" t="s">
        <v>752</v>
      </c>
      <c r="C371" t="s">
        <v>14</v>
      </c>
      <c r="D371">
        <v>12</v>
      </c>
      <c r="E371" t="s">
        <v>11</v>
      </c>
      <c r="F371">
        <v>68</v>
      </c>
      <c r="G371">
        <v>1034516.34</v>
      </c>
      <c r="H371">
        <v>70347111.120000005</v>
      </c>
    </row>
    <row r="372" spans="1:8" x14ac:dyDescent="0.25">
      <c r="A372" t="s">
        <v>753</v>
      </c>
      <c r="B372" t="s">
        <v>754</v>
      </c>
      <c r="C372" t="s">
        <v>26</v>
      </c>
      <c r="D372">
        <v>10</v>
      </c>
      <c r="E372" t="s">
        <v>11</v>
      </c>
      <c r="F372">
        <v>42</v>
      </c>
      <c r="G372">
        <v>425000.15</v>
      </c>
      <c r="H372">
        <v>17850006.300000001</v>
      </c>
    </row>
    <row r="373" spans="1:8" x14ac:dyDescent="0.25">
      <c r="A373" t="s">
        <v>755</v>
      </c>
      <c r="B373" t="s">
        <v>756</v>
      </c>
      <c r="C373" t="s">
        <v>14</v>
      </c>
      <c r="D373">
        <v>22</v>
      </c>
      <c r="E373" t="s">
        <v>11</v>
      </c>
      <c r="F373">
        <v>29</v>
      </c>
      <c r="G373">
        <v>347850.48</v>
      </c>
      <c r="H373">
        <v>10087663.92</v>
      </c>
    </row>
    <row r="374" spans="1:8" x14ac:dyDescent="0.25">
      <c r="A374" t="s">
        <v>757</v>
      </c>
      <c r="B374" t="s">
        <v>758</v>
      </c>
      <c r="C374" t="s">
        <v>14</v>
      </c>
      <c r="D374">
        <v>9</v>
      </c>
      <c r="E374" t="s">
        <v>11</v>
      </c>
      <c r="F374">
        <v>201</v>
      </c>
      <c r="G374">
        <v>175171.15</v>
      </c>
      <c r="H374">
        <v>35209401.149999999</v>
      </c>
    </row>
    <row r="375" spans="1:8" x14ac:dyDescent="0.25">
      <c r="A375" t="s">
        <v>759</v>
      </c>
      <c r="B375" t="s">
        <v>760</v>
      </c>
      <c r="C375" t="s">
        <v>10</v>
      </c>
      <c r="D375">
        <v>16</v>
      </c>
      <c r="E375" t="s">
        <v>11</v>
      </c>
      <c r="F375">
        <v>312</v>
      </c>
      <c r="G375">
        <v>369539.32</v>
      </c>
      <c r="H375">
        <v>115296267.84</v>
      </c>
    </row>
    <row r="376" spans="1:8" x14ac:dyDescent="0.25">
      <c r="A376" t="s">
        <v>761</v>
      </c>
      <c r="B376" t="s">
        <v>762</v>
      </c>
      <c r="C376" t="s">
        <v>14</v>
      </c>
      <c r="D376">
        <v>4</v>
      </c>
      <c r="E376" t="s">
        <v>11</v>
      </c>
      <c r="F376">
        <v>127</v>
      </c>
      <c r="G376">
        <v>896071.09</v>
      </c>
      <c r="H376">
        <v>113801028.43000001</v>
      </c>
    </row>
    <row r="377" spans="1:8" x14ac:dyDescent="0.25">
      <c r="A377" t="s">
        <v>763</v>
      </c>
      <c r="B377" t="s">
        <v>764</v>
      </c>
      <c r="C377" t="s">
        <v>19</v>
      </c>
      <c r="D377">
        <v>21</v>
      </c>
      <c r="E377" t="s">
        <v>11</v>
      </c>
      <c r="F377">
        <v>255</v>
      </c>
      <c r="G377">
        <v>273266.71000000002</v>
      </c>
      <c r="H377">
        <v>69683011.049999997</v>
      </c>
    </row>
    <row r="378" spans="1:8" x14ac:dyDescent="0.25">
      <c r="A378" t="s">
        <v>765</v>
      </c>
      <c r="B378" t="s">
        <v>766</v>
      </c>
      <c r="C378" t="s">
        <v>14</v>
      </c>
      <c r="D378">
        <v>6</v>
      </c>
      <c r="E378" t="s">
        <v>11</v>
      </c>
      <c r="F378">
        <v>317</v>
      </c>
      <c r="G378">
        <v>782228.6</v>
      </c>
      <c r="H378">
        <v>247966466.19999999</v>
      </c>
    </row>
    <row r="379" spans="1:8" x14ac:dyDescent="0.25">
      <c r="A379" t="s">
        <v>767</v>
      </c>
      <c r="B379" t="s">
        <v>768</v>
      </c>
      <c r="C379" t="s">
        <v>14</v>
      </c>
      <c r="D379">
        <v>3</v>
      </c>
      <c r="E379" t="s">
        <v>11</v>
      </c>
      <c r="F379">
        <v>95</v>
      </c>
      <c r="G379">
        <v>86100.26</v>
      </c>
      <c r="H379">
        <v>8179524.7000000002</v>
      </c>
    </row>
    <row r="380" spans="1:8" x14ac:dyDescent="0.25">
      <c r="A380" t="s">
        <v>769</v>
      </c>
      <c r="B380" t="s">
        <v>770</v>
      </c>
      <c r="C380" t="s">
        <v>10</v>
      </c>
      <c r="D380">
        <v>4</v>
      </c>
      <c r="E380" t="s">
        <v>11</v>
      </c>
      <c r="F380">
        <v>114</v>
      </c>
      <c r="G380">
        <v>972097.03</v>
      </c>
      <c r="H380">
        <v>110819061.42</v>
      </c>
    </row>
    <row r="381" spans="1:8" x14ac:dyDescent="0.25">
      <c r="A381" t="s">
        <v>771</v>
      </c>
      <c r="B381" t="s">
        <v>772</v>
      </c>
      <c r="C381" t="s">
        <v>26</v>
      </c>
      <c r="D381">
        <v>19</v>
      </c>
      <c r="E381" t="s">
        <v>11</v>
      </c>
      <c r="F381">
        <v>52</v>
      </c>
      <c r="G381">
        <v>3662867.25</v>
      </c>
      <c r="H381">
        <v>190469097</v>
      </c>
    </row>
    <row r="382" spans="1:8" x14ac:dyDescent="0.25">
      <c r="A382" t="s">
        <v>773</v>
      </c>
      <c r="B382" t="s">
        <v>774</v>
      </c>
      <c r="C382" t="s">
        <v>14</v>
      </c>
      <c r="D382">
        <v>6</v>
      </c>
      <c r="E382" t="s">
        <v>11</v>
      </c>
      <c r="F382">
        <v>50</v>
      </c>
      <c r="G382">
        <v>712461.31</v>
      </c>
      <c r="H382">
        <v>35623065.5</v>
      </c>
    </row>
    <row r="383" spans="1:8" x14ac:dyDescent="0.25">
      <c r="A383" t="s">
        <v>775</v>
      </c>
      <c r="B383" t="s">
        <v>776</v>
      </c>
      <c r="C383" t="s">
        <v>14</v>
      </c>
      <c r="D383">
        <v>3</v>
      </c>
      <c r="E383" t="s">
        <v>11</v>
      </c>
      <c r="F383">
        <v>82</v>
      </c>
      <c r="G383">
        <v>231766.05</v>
      </c>
      <c r="H383">
        <v>19004816.100000001</v>
      </c>
    </row>
    <row r="384" spans="1:8" x14ac:dyDescent="0.25">
      <c r="A384" t="s">
        <v>777</v>
      </c>
      <c r="B384" t="s">
        <v>778</v>
      </c>
      <c r="C384" t="s">
        <v>26</v>
      </c>
      <c r="D384">
        <v>10</v>
      </c>
      <c r="E384" t="s">
        <v>11</v>
      </c>
      <c r="F384">
        <v>20</v>
      </c>
      <c r="G384">
        <v>2644762.44</v>
      </c>
      <c r="H384">
        <v>52895248.799999997</v>
      </c>
    </row>
    <row r="385" spans="1:8" x14ac:dyDescent="0.25">
      <c r="A385" t="s">
        <v>779</v>
      </c>
      <c r="B385" t="s">
        <v>780</v>
      </c>
      <c r="C385" t="s">
        <v>26</v>
      </c>
      <c r="D385">
        <v>22</v>
      </c>
      <c r="E385" t="s">
        <v>11</v>
      </c>
      <c r="F385">
        <v>281</v>
      </c>
      <c r="G385">
        <v>1012718.55</v>
      </c>
      <c r="H385">
        <v>284573912.55000001</v>
      </c>
    </row>
    <row r="386" spans="1:8" x14ac:dyDescent="0.25">
      <c r="A386" t="s">
        <v>781</v>
      </c>
      <c r="B386" t="s">
        <v>782</v>
      </c>
      <c r="C386" t="s">
        <v>14</v>
      </c>
      <c r="D386">
        <v>21</v>
      </c>
      <c r="E386" t="s">
        <v>11</v>
      </c>
      <c r="F386">
        <v>141</v>
      </c>
      <c r="G386">
        <v>1093708.8600000001</v>
      </c>
      <c r="H386">
        <v>154212949.25999999</v>
      </c>
    </row>
    <row r="387" spans="1:8" x14ac:dyDescent="0.25">
      <c r="A387" t="s">
        <v>783</v>
      </c>
      <c r="B387" t="s">
        <v>784</v>
      </c>
      <c r="C387" t="s">
        <v>26</v>
      </c>
      <c r="D387">
        <v>15</v>
      </c>
      <c r="E387" t="s">
        <v>11</v>
      </c>
      <c r="F387">
        <v>153</v>
      </c>
      <c r="G387">
        <v>2612552.85</v>
      </c>
      <c r="H387">
        <v>399720586.05000001</v>
      </c>
    </row>
    <row r="388" spans="1:8" x14ac:dyDescent="0.25">
      <c r="A388" t="s">
        <v>785</v>
      </c>
      <c r="B388" t="s">
        <v>786</v>
      </c>
      <c r="C388" t="s">
        <v>19</v>
      </c>
      <c r="D388">
        <v>19</v>
      </c>
      <c r="E388" t="s">
        <v>11</v>
      </c>
      <c r="F388">
        <v>46</v>
      </c>
      <c r="G388">
        <v>1743089.73</v>
      </c>
      <c r="H388">
        <v>80182127.579999998</v>
      </c>
    </row>
    <row r="389" spans="1:8" x14ac:dyDescent="0.25">
      <c r="A389" t="s">
        <v>787</v>
      </c>
      <c r="B389" t="s">
        <v>788</v>
      </c>
      <c r="C389" t="s">
        <v>19</v>
      </c>
      <c r="D389">
        <v>5</v>
      </c>
      <c r="E389" t="s">
        <v>11</v>
      </c>
      <c r="F389">
        <v>132</v>
      </c>
      <c r="G389">
        <v>1996037.52</v>
      </c>
      <c r="H389">
        <v>263476952.63999999</v>
      </c>
    </row>
    <row r="390" spans="1:8" x14ac:dyDescent="0.25">
      <c r="A390" t="s">
        <v>789</v>
      </c>
      <c r="B390" t="s">
        <v>790</v>
      </c>
      <c r="C390" t="s">
        <v>14</v>
      </c>
      <c r="D390">
        <v>18</v>
      </c>
      <c r="E390" t="s">
        <v>11</v>
      </c>
      <c r="F390">
        <v>91</v>
      </c>
      <c r="G390">
        <v>451850.79</v>
      </c>
      <c r="H390">
        <v>41118421.890000001</v>
      </c>
    </row>
    <row r="391" spans="1:8" x14ac:dyDescent="0.25">
      <c r="A391" t="s">
        <v>791</v>
      </c>
      <c r="B391" t="s">
        <v>792</v>
      </c>
      <c r="C391" t="s">
        <v>10</v>
      </c>
      <c r="D391">
        <v>8</v>
      </c>
      <c r="E391" t="s">
        <v>11</v>
      </c>
      <c r="F391">
        <v>221</v>
      </c>
      <c r="G391">
        <v>781144.7</v>
      </c>
      <c r="H391">
        <v>172632978.69999999</v>
      </c>
    </row>
    <row r="392" spans="1:8" x14ac:dyDescent="0.25">
      <c r="A392" t="s">
        <v>793</v>
      </c>
      <c r="B392" t="s">
        <v>794</v>
      </c>
      <c r="C392" t="s">
        <v>26</v>
      </c>
      <c r="D392">
        <v>25</v>
      </c>
      <c r="E392" t="s">
        <v>11</v>
      </c>
      <c r="F392">
        <v>268</v>
      </c>
      <c r="G392">
        <v>435059.84</v>
      </c>
      <c r="H392">
        <v>116596037.12</v>
      </c>
    </row>
    <row r="393" spans="1:8" x14ac:dyDescent="0.25">
      <c r="A393" t="s">
        <v>795</v>
      </c>
      <c r="B393" t="s">
        <v>796</v>
      </c>
      <c r="C393" t="s">
        <v>10</v>
      </c>
      <c r="D393">
        <v>21</v>
      </c>
      <c r="E393" t="s">
        <v>11</v>
      </c>
      <c r="F393">
        <v>284</v>
      </c>
      <c r="G393">
        <v>741818.67</v>
      </c>
      <c r="H393">
        <v>210676502.28</v>
      </c>
    </row>
    <row r="394" spans="1:8" x14ac:dyDescent="0.25">
      <c r="A394" t="s">
        <v>797</v>
      </c>
      <c r="B394" t="s">
        <v>798</v>
      </c>
      <c r="C394" t="s">
        <v>19</v>
      </c>
      <c r="D394">
        <v>11</v>
      </c>
      <c r="E394" t="s">
        <v>11</v>
      </c>
      <c r="F394">
        <v>18</v>
      </c>
      <c r="G394">
        <v>1798119.44</v>
      </c>
      <c r="H394">
        <v>32366149.920000002</v>
      </c>
    </row>
    <row r="395" spans="1:8" x14ac:dyDescent="0.25">
      <c r="A395" t="s">
        <v>799</v>
      </c>
      <c r="B395" t="s">
        <v>800</v>
      </c>
      <c r="C395" t="s">
        <v>19</v>
      </c>
      <c r="D395">
        <v>7</v>
      </c>
      <c r="E395" t="s">
        <v>11</v>
      </c>
      <c r="F395">
        <v>147</v>
      </c>
      <c r="G395">
        <v>664412.57999999996</v>
      </c>
      <c r="H395">
        <v>97668649.260000005</v>
      </c>
    </row>
    <row r="396" spans="1:8" x14ac:dyDescent="0.25">
      <c r="A396" t="s">
        <v>801</v>
      </c>
      <c r="B396" t="s">
        <v>802</v>
      </c>
      <c r="C396" t="s">
        <v>14</v>
      </c>
      <c r="D396">
        <v>11</v>
      </c>
      <c r="E396" t="s">
        <v>11</v>
      </c>
      <c r="F396">
        <v>137</v>
      </c>
      <c r="G396">
        <v>609945.37</v>
      </c>
      <c r="H396">
        <v>83562515.689999998</v>
      </c>
    </row>
    <row r="397" spans="1:8" x14ac:dyDescent="0.25">
      <c r="A397" t="s">
        <v>803</v>
      </c>
      <c r="B397" t="s">
        <v>804</v>
      </c>
      <c r="C397" t="s">
        <v>14</v>
      </c>
      <c r="D397">
        <v>25</v>
      </c>
      <c r="E397" t="s">
        <v>11</v>
      </c>
      <c r="F397">
        <v>116</v>
      </c>
      <c r="G397">
        <v>104993.52</v>
      </c>
      <c r="H397">
        <v>12179248.32</v>
      </c>
    </row>
    <row r="398" spans="1:8" x14ac:dyDescent="0.25">
      <c r="A398" t="s">
        <v>805</v>
      </c>
      <c r="B398" t="s">
        <v>806</v>
      </c>
      <c r="C398" t="s">
        <v>26</v>
      </c>
      <c r="D398">
        <v>13</v>
      </c>
      <c r="E398" t="s">
        <v>11</v>
      </c>
      <c r="F398">
        <v>80</v>
      </c>
      <c r="G398">
        <v>2904321.25</v>
      </c>
      <c r="H398">
        <v>232345700</v>
      </c>
    </row>
    <row r="399" spans="1:8" x14ac:dyDescent="0.25">
      <c r="A399" t="s">
        <v>807</v>
      </c>
      <c r="B399" t="s">
        <v>808</v>
      </c>
      <c r="C399" t="s">
        <v>14</v>
      </c>
      <c r="D399">
        <v>11</v>
      </c>
      <c r="E399" t="s">
        <v>11</v>
      </c>
      <c r="F399">
        <v>116</v>
      </c>
      <c r="G399">
        <v>510045.68</v>
      </c>
      <c r="H399">
        <v>59165298.880000003</v>
      </c>
    </row>
    <row r="400" spans="1:8" x14ac:dyDescent="0.25">
      <c r="A400" t="s">
        <v>809</v>
      </c>
      <c r="B400" t="s">
        <v>810</v>
      </c>
      <c r="C400" t="s">
        <v>26</v>
      </c>
      <c r="D400">
        <v>24</v>
      </c>
      <c r="E400" t="s">
        <v>11</v>
      </c>
      <c r="F400">
        <v>191</v>
      </c>
      <c r="G400">
        <v>2636844.86</v>
      </c>
      <c r="H400">
        <v>503637368.25999999</v>
      </c>
    </row>
    <row r="401" spans="1:8" x14ac:dyDescent="0.25">
      <c r="A401" t="s">
        <v>811</v>
      </c>
      <c r="B401" t="s">
        <v>812</v>
      </c>
      <c r="C401" t="s">
        <v>14</v>
      </c>
      <c r="D401">
        <v>5</v>
      </c>
      <c r="E401" t="s">
        <v>11</v>
      </c>
      <c r="F401">
        <v>65</v>
      </c>
      <c r="G401">
        <v>339179.12</v>
      </c>
      <c r="H401">
        <v>22046642.800000001</v>
      </c>
    </row>
    <row r="402" spans="1:8" x14ac:dyDescent="0.25">
      <c r="A402" t="s">
        <v>813</v>
      </c>
      <c r="B402" t="s">
        <v>814</v>
      </c>
      <c r="C402" t="s">
        <v>26</v>
      </c>
      <c r="D402">
        <v>25</v>
      </c>
      <c r="E402" t="s">
        <v>11</v>
      </c>
      <c r="F402">
        <v>366</v>
      </c>
      <c r="G402">
        <v>2580498.92</v>
      </c>
      <c r="H402">
        <v>944462604.72000003</v>
      </c>
    </row>
    <row r="403" spans="1:8" x14ac:dyDescent="0.25">
      <c r="A403" t="s">
        <v>815</v>
      </c>
      <c r="B403" t="s">
        <v>816</v>
      </c>
      <c r="C403" t="s">
        <v>10</v>
      </c>
      <c r="D403">
        <v>14</v>
      </c>
      <c r="E403" t="s">
        <v>11</v>
      </c>
      <c r="F403">
        <v>200</v>
      </c>
      <c r="G403">
        <v>1325828.45</v>
      </c>
      <c r="H403">
        <v>265165690</v>
      </c>
    </row>
    <row r="404" spans="1:8" x14ac:dyDescent="0.25">
      <c r="A404" t="s">
        <v>817</v>
      </c>
      <c r="B404" t="s">
        <v>818</v>
      </c>
      <c r="C404" t="s">
        <v>10</v>
      </c>
      <c r="D404">
        <v>10</v>
      </c>
      <c r="E404" t="s">
        <v>11</v>
      </c>
      <c r="F404">
        <v>136</v>
      </c>
      <c r="G404">
        <v>1197719.8500000001</v>
      </c>
      <c r="H404">
        <v>162889899.59999999</v>
      </c>
    </row>
    <row r="405" spans="1:8" x14ac:dyDescent="0.25">
      <c r="A405" t="s">
        <v>819</v>
      </c>
      <c r="B405" t="s">
        <v>820</v>
      </c>
      <c r="C405" t="s">
        <v>10</v>
      </c>
      <c r="D405">
        <v>3</v>
      </c>
      <c r="E405" t="s">
        <v>11</v>
      </c>
      <c r="F405">
        <v>186</v>
      </c>
      <c r="G405">
        <v>1312983.95</v>
      </c>
      <c r="H405">
        <v>244215014.69999999</v>
      </c>
    </row>
    <row r="406" spans="1:8" x14ac:dyDescent="0.25">
      <c r="A406" t="s">
        <v>821</v>
      </c>
      <c r="B406" t="s">
        <v>822</v>
      </c>
      <c r="C406" t="s">
        <v>19</v>
      </c>
      <c r="D406">
        <v>14</v>
      </c>
      <c r="E406" t="s">
        <v>11</v>
      </c>
      <c r="F406">
        <v>70</v>
      </c>
      <c r="G406">
        <v>1156857.17</v>
      </c>
      <c r="H406">
        <v>80980001.900000006</v>
      </c>
    </row>
    <row r="407" spans="1:8" x14ac:dyDescent="0.25">
      <c r="A407" t="s">
        <v>823</v>
      </c>
      <c r="B407" t="s">
        <v>824</v>
      </c>
      <c r="C407" t="s">
        <v>26</v>
      </c>
      <c r="D407">
        <v>25</v>
      </c>
      <c r="E407" t="s">
        <v>11</v>
      </c>
      <c r="F407">
        <v>216</v>
      </c>
      <c r="G407">
        <v>1990760.49</v>
      </c>
      <c r="H407">
        <v>430004265.83999997</v>
      </c>
    </row>
    <row r="408" spans="1:8" x14ac:dyDescent="0.25">
      <c r="A408" t="s">
        <v>825</v>
      </c>
      <c r="B408" t="s">
        <v>826</v>
      </c>
      <c r="C408" t="s">
        <v>19</v>
      </c>
      <c r="D408">
        <v>7</v>
      </c>
      <c r="E408" t="s">
        <v>11</v>
      </c>
      <c r="F408">
        <v>246</v>
      </c>
      <c r="G408">
        <v>1827678.7</v>
      </c>
      <c r="H408">
        <v>449608960.19999999</v>
      </c>
    </row>
    <row r="409" spans="1:8" x14ac:dyDescent="0.25">
      <c r="A409" t="s">
        <v>827</v>
      </c>
      <c r="B409" t="s">
        <v>828</v>
      </c>
      <c r="C409" t="s">
        <v>26</v>
      </c>
      <c r="D409">
        <v>15</v>
      </c>
      <c r="E409" t="s">
        <v>11</v>
      </c>
      <c r="F409">
        <v>271</v>
      </c>
      <c r="G409">
        <v>2193553.92</v>
      </c>
      <c r="H409">
        <v>594453112.32000005</v>
      </c>
    </row>
    <row r="410" spans="1:8" x14ac:dyDescent="0.25">
      <c r="A410" t="s">
        <v>829</v>
      </c>
      <c r="B410" t="s">
        <v>830</v>
      </c>
      <c r="C410" t="s">
        <v>19</v>
      </c>
      <c r="D410">
        <v>20</v>
      </c>
      <c r="E410" t="s">
        <v>11</v>
      </c>
      <c r="F410">
        <v>42</v>
      </c>
      <c r="G410">
        <v>228741.26</v>
      </c>
      <c r="H410">
        <v>9607132.9199999999</v>
      </c>
    </row>
    <row r="411" spans="1:8" x14ac:dyDescent="0.25">
      <c r="A411" t="s">
        <v>831</v>
      </c>
      <c r="B411" t="s">
        <v>832</v>
      </c>
      <c r="C411" t="s">
        <v>14</v>
      </c>
      <c r="D411">
        <v>25</v>
      </c>
      <c r="E411" t="s">
        <v>11</v>
      </c>
      <c r="F411">
        <v>350</v>
      </c>
      <c r="G411">
        <v>472830.63</v>
      </c>
      <c r="H411">
        <v>165490720.5</v>
      </c>
    </row>
    <row r="412" spans="1:8" x14ac:dyDescent="0.25">
      <c r="A412" t="s">
        <v>833</v>
      </c>
      <c r="B412" t="s">
        <v>834</v>
      </c>
      <c r="C412" t="s">
        <v>19</v>
      </c>
      <c r="D412">
        <v>8</v>
      </c>
      <c r="E412" t="s">
        <v>11</v>
      </c>
      <c r="F412">
        <v>243</v>
      </c>
      <c r="G412">
        <v>566521.64</v>
      </c>
      <c r="H412">
        <v>137664758.52000001</v>
      </c>
    </row>
    <row r="413" spans="1:8" x14ac:dyDescent="0.25">
      <c r="A413" t="s">
        <v>835</v>
      </c>
      <c r="B413" t="s">
        <v>836</v>
      </c>
      <c r="C413" t="s">
        <v>19</v>
      </c>
      <c r="D413">
        <v>13</v>
      </c>
      <c r="E413" t="s">
        <v>11</v>
      </c>
      <c r="F413">
        <v>323</v>
      </c>
      <c r="G413">
        <v>485026.02</v>
      </c>
      <c r="H413">
        <v>156663404.46000001</v>
      </c>
    </row>
    <row r="414" spans="1:8" x14ac:dyDescent="0.25">
      <c r="A414" t="s">
        <v>837</v>
      </c>
      <c r="B414" t="s">
        <v>838</v>
      </c>
      <c r="C414" t="s">
        <v>26</v>
      </c>
      <c r="D414">
        <v>16</v>
      </c>
      <c r="E414" t="s">
        <v>11</v>
      </c>
      <c r="F414">
        <v>335</v>
      </c>
      <c r="G414">
        <v>3403332.07</v>
      </c>
      <c r="H414">
        <v>1140116243.45</v>
      </c>
    </row>
    <row r="415" spans="1:8" x14ac:dyDescent="0.25">
      <c r="A415" t="s">
        <v>839</v>
      </c>
      <c r="B415" t="s">
        <v>840</v>
      </c>
      <c r="C415" t="s">
        <v>14</v>
      </c>
      <c r="D415">
        <v>20</v>
      </c>
      <c r="E415" t="s">
        <v>11</v>
      </c>
      <c r="F415">
        <v>191</v>
      </c>
      <c r="G415">
        <v>736693.47</v>
      </c>
      <c r="H415">
        <v>140708452.77000001</v>
      </c>
    </row>
    <row r="416" spans="1:8" x14ac:dyDescent="0.25">
      <c r="A416" t="s">
        <v>841</v>
      </c>
      <c r="B416" t="s">
        <v>842</v>
      </c>
      <c r="C416" t="s">
        <v>26</v>
      </c>
      <c r="D416">
        <v>3</v>
      </c>
      <c r="E416" t="s">
        <v>11</v>
      </c>
      <c r="F416">
        <v>41</v>
      </c>
      <c r="G416">
        <v>2753250.66</v>
      </c>
      <c r="H416">
        <v>112883277.06</v>
      </c>
    </row>
    <row r="417" spans="1:8" x14ac:dyDescent="0.25">
      <c r="A417" t="s">
        <v>843</v>
      </c>
      <c r="B417" t="s">
        <v>844</v>
      </c>
      <c r="C417" t="s">
        <v>26</v>
      </c>
      <c r="D417">
        <v>5</v>
      </c>
      <c r="E417" t="s">
        <v>11</v>
      </c>
      <c r="F417">
        <v>163</v>
      </c>
      <c r="G417">
        <v>2037326.11</v>
      </c>
      <c r="H417">
        <v>332084155.93000001</v>
      </c>
    </row>
    <row r="418" spans="1:8" x14ac:dyDescent="0.25">
      <c r="A418" t="s">
        <v>845</v>
      </c>
      <c r="B418" t="s">
        <v>846</v>
      </c>
      <c r="C418" t="s">
        <v>14</v>
      </c>
      <c r="D418">
        <v>14</v>
      </c>
      <c r="E418" t="s">
        <v>11</v>
      </c>
      <c r="F418">
        <v>299</v>
      </c>
      <c r="G418">
        <v>890950.02</v>
      </c>
      <c r="H418">
        <v>266394055.97999999</v>
      </c>
    </row>
    <row r="419" spans="1:8" x14ac:dyDescent="0.25">
      <c r="A419" t="s">
        <v>847</v>
      </c>
      <c r="B419" t="s">
        <v>848</v>
      </c>
      <c r="C419" t="s">
        <v>26</v>
      </c>
      <c r="D419">
        <v>16</v>
      </c>
      <c r="E419" t="s">
        <v>11</v>
      </c>
      <c r="F419">
        <v>223</v>
      </c>
      <c r="G419">
        <v>1163651.5</v>
      </c>
      <c r="H419">
        <v>259494284.5</v>
      </c>
    </row>
    <row r="420" spans="1:8" x14ac:dyDescent="0.25">
      <c r="A420" t="s">
        <v>849</v>
      </c>
      <c r="B420" t="s">
        <v>850</v>
      </c>
      <c r="C420" t="s">
        <v>19</v>
      </c>
      <c r="D420">
        <v>15</v>
      </c>
      <c r="E420" t="s">
        <v>11</v>
      </c>
      <c r="F420">
        <v>327</v>
      </c>
      <c r="G420">
        <v>151476.16</v>
      </c>
      <c r="H420">
        <v>49532704.32</v>
      </c>
    </row>
    <row r="421" spans="1:8" x14ac:dyDescent="0.25">
      <c r="A421" t="s">
        <v>851</v>
      </c>
      <c r="B421" t="s">
        <v>852</v>
      </c>
      <c r="C421" t="s">
        <v>10</v>
      </c>
      <c r="D421">
        <v>15</v>
      </c>
      <c r="E421" t="s">
        <v>11</v>
      </c>
      <c r="F421">
        <v>227</v>
      </c>
      <c r="G421">
        <v>764201.89</v>
      </c>
      <c r="H421">
        <v>173473829.03</v>
      </c>
    </row>
    <row r="422" spans="1:8" x14ac:dyDescent="0.25">
      <c r="A422" t="s">
        <v>853</v>
      </c>
      <c r="B422" t="s">
        <v>854</v>
      </c>
      <c r="C422" t="s">
        <v>14</v>
      </c>
      <c r="D422">
        <v>3</v>
      </c>
      <c r="E422" t="s">
        <v>11</v>
      </c>
      <c r="F422">
        <v>110</v>
      </c>
      <c r="G422">
        <v>339668.71</v>
      </c>
      <c r="H422">
        <v>37363558.100000001</v>
      </c>
    </row>
    <row r="423" spans="1:8" x14ac:dyDescent="0.25">
      <c r="A423" t="s">
        <v>855</v>
      </c>
      <c r="B423" t="s">
        <v>856</v>
      </c>
      <c r="C423" t="s">
        <v>14</v>
      </c>
      <c r="D423">
        <v>10</v>
      </c>
      <c r="E423" t="s">
        <v>11</v>
      </c>
      <c r="F423">
        <v>221</v>
      </c>
      <c r="G423">
        <v>513722.54</v>
      </c>
      <c r="H423">
        <v>113532681.34</v>
      </c>
    </row>
    <row r="424" spans="1:8" x14ac:dyDescent="0.25">
      <c r="A424" t="s">
        <v>857</v>
      </c>
      <c r="B424" t="s">
        <v>858</v>
      </c>
      <c r="C424" t="s">
        <v>10</v>
      </c>
      <c r="D424">
        <v>17</v>
      </c>
      <c r="E424" t="s">
        <v>11</v>
      </c>
      <c r="F424">
        <v>355</v>
      </c>
      <c r="G424">
        <v>596457.17000000004</v>
      </c>
      <c r="H424">
        <v>211742295.34999999</v>
      </c>
    </row>
    <row r="425" spans="1:8" x14ac:dyDescent="0.25">
      <c r="A425" t="s">
        <v>859</v>
      </c>
      <c r="B425" t="s">
        <v>860</v>
      </c>
      <c r="C425" t="s">
        <v>19</v>
      </c>
      <c r="D425">
        <v>22</v>
      </c>
      <c r="E425" t="s">
        <v>11</v>
      </c>
      <c r="F425">
        <v>169</v>
      </c>
      <c r="G425">
        <v>978898.72</v>
      </c>
      <c r="H425">
        <v>165433883.68000001</v>
      </c>
    </row>
    <row r="426" spans="1:8" x14ac:dyDescent="0.25">
      <c r="A426" t="s">
        <v>861</v>
      </c>
      <c r="B426" t="s">
        <v>862</v>
      </c>
      <c r="C426" t="s">
        <v>14</v>
      </c>
      <c r="D426">
        <v>7</v>
      </c>
      <c r="E426" t="s">
        <v>11</v>
      </c>
      <c r="F426">
        <v>234</v>
      </c>
      <c r="G426">
        <v>231316.08</v>
      </c>
      <c r="H426">
        <v>54127962.719999999</v>
      </c>
    </row>
    <row r="427" spans="1:8" x14ac:dyDescent="0.25">
      <c r="A427" t="s">
        <v>863</v>
      </c>
      <c r="B427" t="s">
        <v>864</v>
      </c>
      <c r="C427" t="s">
        <v>14</v>
      </c>
      <c r="D427">
        <v>19</v>
      </c>
      <c r="E427" t="s">
        <v>11</v>
      </c>
      <c r="F427">
        <v>129</v>
      </c>
      <c r="G427">
        <v>428382.39</v>
      </c>
      <c r="H427">
        <v>55261328.310000002</v>
      </c>
    </row>
    <row r="428" spans="1:8" x14ac:dyDescent="0.25">
      <c r="A428" t="s">
        <v>865</v>
      </c>
      <c r="B428" t="s">
        <v>866</v>
      </c>
      <c r="C428" t="s">
        <v>14</v>
      </c>
      <c r="D428">
        <v>22</v>
      </c>
      <c r="E428" t="s">
        <v>11</v>
      </c>
      <c r="F428">
        <v>332</v>
      </c>
      <c r="G428">
        <v>1188611.3999999999</v>
      </c>
      <c r="H428">
        <v>394618984.80000001</v>
      </c>
    </row>
    <row r="429" spans="1:8" x14ac:dyDescent="0.25">
      <c r="A429" t="s">
        <v>867</v>
      </c>
      <c r="B429" t="s">
        <v>868</v>
      </c>
      <c r="C429" t="s">
        <v>10</v>
      </c>
      <c r="D429">
        <v>10</v>
      </c>
      <c r="E429" t="s">
        <v>11</v>
      </c>
      <c r="F429">
        <v>134</v>
      </c>
      <c r="G429">
        <v>1287907.9099999999</v>
      </c>
      <c r="H429">
        <v>172579659.94</v>
      </c>
    </row>
    <row r="430" spans="1:8" x14ac:dyDescent="0.25">
      <c r="A430" t="s">
        <v>869</v>
      </c>
      <c r="B430" t="s">
        <v>870</v>
      </c>
      <c r="C430" t="s">
        <v>19</v>
      </c>
      <c r="D430">
        <v>9</v>
      </c>
      <c r="E430" t="s">
        <v>11</v>
      </c>
      <c r="F430">
        <v>223</v>
      </c>
      <c r="G430">
        <v>1028371.57</v>
      </c>
      <c r="H430">
        <v>229326860.11000001</v>
      </c>
    </row>
    <row r="431" spans="1:8" x14ac:dyDescent="0.25">
      <c r="A431" t="s">
        <v>871</v>
      </c>
      <c r="B431" t="s">
        <v>872</v>
      </c>
      <c r="C431" t="s">
        <v>14</v>
      </c>
      <c r="D431">
        <v>18</v>
      </c>
      <c r="E431" t="s">
        <v>11</v>
      </c>
      <c r="F431">
        <v>124</v>
      </c>
      <c r="G431">
        <v>393156.11</v>
      </c>
      <c r="H431">
        <v>48751357.640000001</v>
      </c>
    </row>
    <row r="432" spans="1:8" x14ac:dyDescent="0.25">
      <c r="A432" t="s">
        <v>873</v>
      </c>
      <c r="B432" t="s">
        <v>874</v>
      </c>
      <c r="C432" t="s">
        <v>19</v>
      </c>
      <c r="D432">
        <v>19</v>
      </c>
      <c r="E432" t="s">
        <v>11</v>
      </c>
      <c r="F432">
        <v>245</v>
      </c>
      <c r="G432">
        <v>276900.81</v>
      </c>
      <c r="H432">
        <v>67840698.450000003</v>
      </c>
    </row>
    <row r="433" spans="1:8" x14ac:dyDescent="0.25">
      <c r="A433" t="s">
        <v>875</v>
      </c>
      <c r="B433" t="s">
        <v>876</v>
      </c>
      <c r="C433" t="s">
        <v>19</v>
      </c>
      <c r="D433">
        <v>12</v>
      </c>
      <c r="E433" t="s">
        <v>11</v>
      </c>
      <c r="F433">
        <v>219</v>
      </c>
      <c r="G433">
        <v>837259.99</v>
      </c>
      <c r="H433">
        <v>183359937.81</v>
      </c>
    </row>
    <row r="434" spans="1:8" x14ac:dyDescent="0.25">
      <c r="A434" t="s">
        <v>877</v>
      </c>
      <c r="B434" t="s">
        <v>878</v>
      </c>
      <c r="C434" t="s">
        <v>14</v>
      </c>
      <c r="D434">
        <v>6</v>
      </c>
      <c r="E434" t="s">
        <v>11</v>
      </c>
      <c r="F434">
        <v>37</v>
      </c>
      <c r="G434">
        <v>826479.34</v>
      </c>
      <c r="H434">
        <v>30579735.579999998</v>
      </c>
    </row>
    <row r="435" spans="1:8" x14ac:dyDescent="0.25">
      <c r="A435" t="s">
        <v>879</v>
      </c>
      <c r="B435" t="s">
        <v>880</v>
      </c>
      <c r="C435" t="s">
        <v>10</v>
      </c>
      <c r="D435">
        <v>21</v>
      </c>
      <c r="E435" t="s">
        <v>11</v>
      </c>
      <c r="F435">
        <v>269</v>
      </c>
      <c r="G435">
        <v>1539755.86</v>
      </c>
      <c r="H435">
        <v>414194326.33999997</v>
      </c>
    </row>
    <row r="436" spans="1:8" x14ac:dyDescent="0.25">
      <c r="A436" t="s">
        <v>881</v>
      </c>
      <c r="B436" t="s">
        <v>882</v>
      </c>
      <c r="C436" t="s">
        <v>19</v>
      </c>
      <c r="D436">
        <v>10</v>
      </c>
      <c r="E436" t="s">
        <v>11</v>
      </c>
      <c r="F436">
        <v>251</v>
      </c>
      <c r="G436">
        <v>982485.32</v>
      </c>
      <c r="H436">
        <v>246603815.31999999</v>
      </c>
    </row>
    <row r="437" spans="1:8" x14ac:dyDescent="0.25">
      <c r="A437" t="s">
        <v>883</v>
      </c>
      <c r="B437" t="s">
        <v>884</v>
      </c>
      <c r="C437" t="s">
        <v>14</v>
      </c>
      <c r="D437">
        <v>18</v>
      </c>
      <c r="E437" t="s">
        <v>11</v>
      </c>
      <c r="F437">
        <v>358</v>
      </c>
      <c r="G437">
        <v>807668.51</v>
      </c>
      <c r="H437">
        <v>289145326.57999998</v>
      </c>
    </row>
    <row r="438" spans="1:8" x14ac:dyDescent="0.25">
      <c r="A438" t="s">
        <v>885</v>
      </c>
      <c r="B438" t="s">
        <v>886</v>
      </c>
      <c r="C438" t="s">
        <v>10</v>
      </c>
      <c r="D438">
        <v>11</v>
      </c>
      <c r="E438" t="s">
        <v>11</v>
      </c>
      <c r="F438">
        <v>120</v>
      </c>
      <c r="G438">
        <v>1414177.1</v>
      </c>
      <c r="H438">
        <v>169701252</v>
      </c>
    </row>
    <row r="439" spans="1:8" x14ac:dyDescent="0.25">
      <c r="A439" t="s">
        <v>887</v>
      </c>
      <c r="B439" t="s">
        <v>888</v>
      </c>
      <c r="C439" t="s">
        <v>19</v>
      </c>
      <c r="D439">
        <v>23</v>
      </c>
      <c r="E439" t="s">
        <v>11</v>
      </c>
      <c r="F439">
        <v>293</v>
      </c>
      <c r="G439">
        <v>398762.21</v>
      </c>
      <c r="H439">
        <v>116837327.53</v>
      </c>
    </row>
    <row r="440" spans="1:8" x14ac:dyDescent="0.25">
      <c r="A440" t="s">
        <v>889</v>
      </c>
      <c r="B440" t="s">
        <v>890</v>
      </c>
      <c r="C440" t="s">
        <v>14</v>
      </c>
      <c r="D440">
        <v>22</v>
      </c>
      <c r="E440" t="s">
        <v>11</v>
      </c>
      <c r="F440">
        <v>235</v>
      </c>
      <c r="G440">
        <v>1086875.29</v>
      </c>
      <c r="H440">
        <v>255415693.15000001</v>
      </c>
    </row>
    <row r="441" spans="1:8" x14ac:dyDescent="0.25">
      <c r="A441" t="s">
        <v>891</v>
      </c>
      <c r="B441" t="s">
        <v>892</v>
      </c>
      <c r="C441" t="s">
        <v>26</v>
      </c>
      <c r="D441">
        <v>16</v>
      </c>
      <c r="E441" t="s">
        <v>11</v>
      </c>
      <c r="F441">
        <v>111</v>
      </c>
      <c r="G441">
        <v>2241799.02</v>
      </c>
      <c r="H441">
        <v>248839691.22</v>
      </c>
    </row>
    <row r="442" spans="1:8" x14ac:dyDescent="0.25">
      <c r="A442" t="s">
        <v>893</v>
      </c>
      <c r="B442" t="s">
        <v>894</v>
      </c>
      <c r="C442" t="s">
        <v>19</v>
      </c>
      <c r="D442">
        <v>16</v>
      </c>
      <c r="E442" t="s">
        <v>11</v>
      </c>
      <c r="F442">
        <v>330</v>
      </c>
      <c r="G442">
        <v>315266.78000000003</v>
      </c>
      <c r="H442">
        <v>104038037.40000001</v>
      </c>
    </row>
    <row r="443" spans="1:8" x14ac:dyDescent="0.25">
      <c r="A443" t="s">
        <v>895</v>
      </c>
      <c r="B443" t="s">
        <v>896</v>
      </c>
      <c r="C443" t="s">
        <v>26</v>
      </c>
      <c r="D443">
        <v>17</v>
      </c>
      <c r="E443" t="s">
        <v>11</v>
      </c>
      <c r="F443">
        <v>61</v>
      </c>
      <c r="G443">
        <v>2501650.37</v>
      </c>
      <c r="H443">
        <v>152600672.56999999</v>
      </c>
    </row>
    <row r="444" spans="1:8" x14ac:dyDescent="0.25">
      <c r="A444" t="s">
        <v>897</v>
      </c>
      <c r="B444" t="s">
        <v>898</v>
      </c>
      <c r="C444" t="s">
        <v>19</v>
      </c>
      <c r="D444">
        <v>6</v>
      </c>
      <c r="E444" t="s">
        <v>11</v>
      </c>
      <c r="F444">
        <v>326</v>
      </c>
      <c r="G444">
        <v>1146122.8400000001</v>
      </c>
      <c r="H444">
        <v>373636045.83999997</v>
      </c>
    </row>
    <row r="445" spans="1:8" x14ac:dyDescent="0.25">
      <c r="A445" t="s">
        <v>899</v>
      </c>
      <c r="B445" t="s">
        <v>900</v>
      </c>
      <c r="C445" t="s">
        <v>14</v>
      </c>
      <c r="D445">
        <v>24</v>
      </c>
      <c r="E445" t="s">
        <v>11</v>
      </c>
      <c r="F445">
        <v>254</v>
      </c>
      <c r="G445">
        <v>328546.84999999998</v>
      </c>
      <c r="H445">
        <v>83450899.900000006</v>
      </c>
    </row>
    <row r="446" spans="1:8" x14ac:dyDescent="0.25">
      <c r="A446" t="s">
        <v>901</v>
      </c>
      <c r="B446" t="s">
        <v>902</v>
      </c>
      <c r="C446" t="s">
        <v>14</v>
      </c>
      <c r="D446">
        <v>23</v>
      </c>
      <c r="E446" t="s">
        <v>11</v>
      </c>
      <c r="F446">
        <v>279</v>
      </c>
      <c r="G446">
        <v>814131.69</v>
      </c>
      <c r="H446">
        <v>227142741.50999999</v>
      </c>
    </row>
    <row r="447" spans="1:8" x14ac:dyDescent="0.25">
      <c r="A447" t="s">
        <v>903</v>
      </c>
      <c r="B447" t="s">
        <v>904</v>
      </c>
      <c r="C447" t="s">
        <v>26</v>
      </c>
      <c r="D447">
        <v>25</v>
      </c>
      <c r="E447" t="s">
        <v>11</v>
      </c>
      <c r="F447">
        <v>78</v>
      </c>
      <c r="G447">
        <v>449571.72</v>
      </c>
      <c r="H447">
        <v>35066594.159999996</v>
      </c>
    </row>
    <row r="448" spans="1:8" x14ac:dyDescent="0.25">
      <c r="A448" t="s">
        <v>905</v>
      </c>
      <c r="B448" t="s">
        <v>906</v>
      </c>
      <c r="C448" t="s">
        <v>19</v>
      </c>
      <c r="D448">
        <v>16</v>
      </c>
      <c r="E448" t="s">
        <v>11</v>
      </c>
      <c r="F448">
        <v>43</v>
      </c>
      <c r="G448">
        <v>224575.73</v>
      </c>
      <c r="H448">
        <v>9656756.3900000006</v>
      </c>
    </row>
    <row r="449" spans="1:8" x14ac:dyDescent="0.25">
      <c r="A449" t="s">
        <v>907</v>
      </c>
      <c r="B449" t="s">
        <v>908</v>
      </c>
      <c r="C449" t="s">
        <v>19</v>
      </c>
      <c r="D449">
        <v>3</v>
      </c>
      <c r="E449" t="s">
        <v>11</v>
      </c>
      <c r="F449">
        <v>112</v>
      </c>
      <c r="G449">
        <v>557360.76</v>
      </c>
      <c r="H449">
        <v>62424405.119999997</v>
      </c>
    </row>
    <row r="450" spans="1:8" x14ac:dyDescent="0.25">
      <c r="A450" t="s">
        <v>909</v>
      </c>
      <c r="B450" t="s">
        <v>910</v>
      </c>
      <c r="C450" t="s">
        <v>14</v>
      </c>
      <c r="D450">
        <v>5</v>
      </c>
      <c r="E450" t="s">
        <v>11</v>
      </c>
      <c r="F450">
        <v>15</v>
      </c>
      <c r="G450">
        <v>228657.15</v>
      </c>
      <c r="H450">
        <v>3429857.25</v>
      </c>
    </row>
    <row r="451" spans="1:8" x14ac:dyDescent="0.25">
      <c r="A451" t="s">
        <v>911</v>
      </c>
      <c r="B451" t="s">
        <v>912</v>
      </c>
      <c r="C451" t="s">
        <v>14</v>
      </c>
      <c r="D451">
        <v>7</v>
      </c>
      <c r="E451" t="s">
        <v>11</v>
      </c>
      <c r="F451">
        <v>93</v>
      </c>
      <c r="G451">
        <v>98470.44</v>
      </c>
      <c r="H451">
        <v>9157750.9199999999</v>
      </c>
    </row>
    <row r="452" spans="1:8" x14ac:dyDescent="0.25">
      <c r="A452" t="s">
        <v>913</v>
      </c>
      <c r="B452" t="s">
        <v>914</v>
      </c>
      <c r="C452" t="s">
        <v>10</v>
      </c>
      <c r="D452">
        <v>13</v>
      </c>
      <c r="E452" t="s">
        <v>11</v>
      </c>
      <c r="F452">
        <v>97</v>
      </c>
      <c r="G452">
        <v>986939.77</v>
      </c>
      <c r="H452">
        <v>95733157.689999998</v>
      </c>
    </row>
    <row r="453" spans="1:8" x14ac:dyDescent="0.25">
      <c r="A453" t="s">
        <v>915</v>
      </c>
      <c r="B453" t="s">
        <v>916</v>
      </c>
      <c r="C453" t="s">
        <v>10</v>
      </c>
      <c r="D453">
        <v>17</v>
      </c>
      <c r="E453" t="s">
        <v>11</v>
      </c>
      <c r="F453">
        <v>78</v>
      </c>
      <c r="G453">
        <v>576289.23</v>
      </c>
      <c r="H453">
        <v>44950559.939999998</v>
      </c>
    </row>
    <row r="454" spans="1:8" x14ac:dyDescent="0.25">
      <c r="A454" t="s">
        <v>917</v>
      </c>
      <c r="B454" t="s">
        <v>918</v>
      </c>
      <c r="C454" t="s">
        <v>14</v>
      </c>
      <c r="D454">
        <v>15</v>
      </c>
      <c r="E454" t="s">
        <v>11</v>
      </c>
      <c r="F454">
        <v>54</v>
      </c>
      <c r="G454">
        <v>902392.92</v>
      </c>
      <c r="H454">
        <v>48729217.68</v>
      </c>
    </row>
    <row r="455" spans="1:8" x14ac:dyDescent="0.25">
      <c r="A455" t="s">
        <v>919</v>
      </c>
      <c r="B455" t="s">
        <v>920</v>
      </c>
      <c r="C455" t="s">
        <v>19</v>
      </c>
      <c r="D455">
        <v>17</v>
      </c>
      <c r="E455" t="s">
        <v>11</v>
      </c>
      <c r="F455">
        <v>281</v>
      </c>
      <c r="G455">
        <v>79068.070000000007</v>
      </c>
      <c r="H455">
        <v>22218127.670000002</v>
      </c>
    </row>
    <row r="456" spans="1:8" x14ac:dyDescent="0.25">
      <c r="A456" t="s">
        <v>921</v>
      </c>
      <c r="B456" t="s">
        <v>922</v>
      </c>
      <c r="C456" t="s">
        <v>19</v>
      </c>
      <c r="D456">
        <v>12</v>
      </c>
      <c r="E456" t="s">
        <v>11</v>
      </c>
      <c r="F456">
        <v>251</v>
      </c>
      <c r="G456">
        <v>1210820.5</v>
      </c>
      <c r="H456">
        <v>303915945.5</v>
      </c>
    </row>
    <row r="457" spans="1:8" x14ac:dyDescent="0.25">
      <c r="A457" t="s">
        <v>923</v>
      </c>
      <c r="B457" t="s">
        <v>924</v>
      </c>
      <c r="C457" t="s">
        <v>19</v>
      </c>
      <c r="D457">
        <v>3</v>
      </c>
      <c r="E457" t="s">
        <v>11</v>
      </c>
      <c r="F457">
        <v>287</v>
      </c>
      <c r="G457">
        <v>1944403.3</v>
      </c>
      <c r="H457">
        <v>558043747.10000002</v>
      </c>
    </row>
    <row r="458" spans="1:8" x14ac:dyDescent="0.25">
      <c r="A458" t="s">
        <v>925</v>
      </c>
      <c r="B458" t="s">
        <v>926</v>
      </c>
      <c r="C458" t="s">
        <v>19</v>
      </c>
      <c r="D458">
        <v>17</v>
      </c>
      <c r="E458" t="s">
        <v>11</v>
      </c>
      <c r="F458">
        <v>32</v>
      </c>
      <c r="G458">
        <v>418081.5</v>
      </c>
      <c r="H458">
        <v>13378608</v>
      </c>
    </row>
    <row r="459" spans="1:8" x14ac:dyDescent="0.25">
      <c r="A459" t="s">
        <v>927</v>
      </c>
      <c r="B459" t="s">
        <v>928</v>
      </c>
      <c r="C459" t="s">
        <v>10</v>
      </c>
      <c r="D459">
        <v>10</v>
      </c>
      <c r="E459" t="s">
        <v>11</v>
      </c>
      <c r="F459">
        <v>138</v>
      </c>
      <c r="G459">
        <v>1447160.28</v>
      </c>
      <c r="H459">
        <v>199708118.63999999</v>
      </c>
    </row>
    <row r="460" spans="1:8" x14ac:dyDescent="0.25">
      <c r="A460" t="s">
        <v>929</v>
      </c>
      <c r="B460" t="s">
        <v>930</v>
      </c>
      <c r="C460" t="s">
        <v>10</v>
      </c>
      <c r="D460">
        <v>19</v>
      </c>
      <c r="E460" t="s">
        <v>11</v>
      </c>
      <c r="F460">
        <v>319</v>
      </c>
      <c r="G460">
        <v>1252836.06</v>
      </c>
      <c r="H460">
        <v>399654703.13999999</v>
      </c>
    </row>
    <row r="461" spans="1:8" x14ac:dyDescent="0.25">
      <c r="A461" t="s">
        <v>931</v>
      </c>
      <c r="B461" t="s">
        <v>932</v>
      </c>
      <c r="C461" t="s">
        <v>10</v>
      </c>
      <c r="D461">
        <v>7</v>
      </c>
      <c r="E461" t="s">
        <v>11</v>
      </c>
      <c r="F461">
        <v>349</v>
      </c>
      <c r="G461">
        <v>711039.92</v>
      </c>
      <c r="H461">
        <v>248152932.08000001</v>
      </c>
    </row>
    <row r="462" spans="1:8" x14ac:dyDescent="0.25">
      <c r="A462" t="s">
        <v>933</v>
      </c>
      <c r="B462" t="s">
        <v>934</v>
      </c>
      <c r="C462" t="s">
        <v>10</v>
      </c>
      <c r="D462">
        <v>17</v>
      </c>
      <c r="E462" t="s">
        <v>11</v>
      </c>
      <c r="F462">
        <v>33</v>
      </c>
      <c r="G462">
        <v>1523822.82</v>
      </c>
      <c r="H462">
        <v>50286153.060000002</v>
      </c>
    </row>
    <row r="463" spans="1:8" x14ac:dyDescent="0.25">
      <c r="A463" t="s">
        <v>935</v>
      </c>
      <c r="B463" t="s">
        <v>936</v>
      </c>
      <c r="C463" t="s">
        <v>14</v>
      </c>
      <c r="D463">
        <v>14</v>
      </c>
      <c r="E463" t="s">
        <v>11</v>
      </c>
      <c r="F463">
        <v>316</v>
      </c>
      <c r="G463">
        <v>72943.38</v>
      </c>
      <c r="H463">
        <v>23050108.079999998</v>
      </c>
    </row>
    <row r="464" spans="1:8" x14ac:dyDescent="0.25">
      <c r="A464" t="s">
        <v>937</v>
      </c>
      <c r="B464" t="s">
        <v>938</v>
      </c>
      <c r="C464" t="s">
        <v>14</v>
      </c>
      <c r="D464">
        <v>5</v>
      </c>
      <c r="E464" t="s">
        <v>11</v>
      </c>
      <c r="F464">
        <v>115</v>
      </c>
      <c r="G464">
        <v>566253.4</v>
      </c>
      <c r="H464">
        <v>65119141</v>
      </c>
    </row>
    <row r="465" spans="1:8" x14ac:dyDescent="0.25">
      <c r="A465" t="s">
        <v>939</v>
      </c>
      <c r="B465" t="s">
        <v>940</v>
      </c>
      <c r="C465" t="s">
        <v>26</v>
      </c>
      <c r="D465">
        <v>25</v>
      </c>
      <c r="E465" t="s">
        <v>11</v>
      </c>
      <c r="F465">
        <v>284</v>
      </c>
      <c r="G465">
        <v>3090902.85</v>
      </c>
      <c r="H465">
        <v>877816409.39999998</v>
      </c>
    </row>
    <row r="466" spans="1:8" x14ac:dyDescent="0.25">
      <c r="A466" t="s">
        <v>941</v>
      </c>
      <c r="B466" t="s">
        <v>942</v>
      </c>
      <c r="C466" t="s">
        <v>10</v>
      </c>
      <c r="D466">
        <v>20</v>
      </c>
      <c r="E466" t="s">
        <v>11</v>
      </c>
      <c r="F466">
        <v>357</v>
      </c>
      <c r="G466">
        <v>1374397.74</v>
      </c>
      <c r="H466">
        <v>490659993.18000001</v>
      </c>
    </row>
    <row r="467" spans="1:8" x14ac:dyDescent="0.25">
      <c r="A467" t="s">
        <v>943</v>
      </c>
      <c r="B467" t="s">
        <v>944</v>
      </c>
      <c r="C467" t="s">
        <v>10</v>
      </c>
      <c r="D467">
        <v>17</v>
      </c>
      <c r="E467" t="s">
        <v>11</v>
      </c>
      <c r="F467">
        <v>299</v>
      </c>
      <c r="G467">
        <v>1424798.77</v>
      </c>
      <c r="H467">
        <v>426014832.23000002</v>
      </c>
    </row>
    <row r="468" spans="1:8" x14ac:dyDescent="0.25">
      <c r="A468" t="s">
        <v>945</v>
      </c>
      <c r="B468" t="s">
        <v>946</v>
      </c>
      <c r="C468" t="s">
        <v>10</v>
      </c>
      <c r="D468">
        <v>16</v>
      </c>
      <c r="E468" t="s">
        <v>11</v>
      </c>
      <c r="F468">
        <v>351</v>
      </c>
      <c r="G468">
        <v>589160.03</v>
      </c>
      <c r="H468">
        <v>206795170.53</v>
      </c>
    </row>
    <row r="469" spans="1:8" x14ac:dyDescent="0.25">
      <c r="A469" t="s">
        <v>947</v>
      </c>
      <c r="B469" t="s">
        <v>948</v>
      </c>
      <c r="C469" t="s">
        <v>26</v>
      </c>
      <c r="D469">
        <v>13</v>
      </c>
      <c r="E469" t="s">
        <v>11</v>
      </c>
      <c r="F469">
        <v>307</v>
      </c>
      <c r="G469">
        <v>1343834.49</v>
      </c>
      <c r="H469">
        <v>412557188.43000001</v>
      </c>
    </row>
    <row r="470" spans="1:8" x14ac:dyDescent="0.25">
      <c r="A470" t="s">
        <v>949</v>
      </c>
      <c r="B470" t="s">
        <v>950</v>
      </c>
      <c r="C470" t="s">
        <v>19</v>
      </c>
      <c r="D470">
        <v>9</v>
      </c>
      <c r="E470" t="s">
        <v>11</v>
      </c>
      <c r="F470">
        <v>173</v>
      </c>
      <c r="G470">
        <v>1333979.05</v>
      </c>
      <c r="H470">
        <v>230778375.65000001</v>
      </c>
    </row>
    <row r="471" spans="1:8" x14ac:dyDescent="0.25">
      <c r="A471" t="s">
        <v>951</v>
      </c>
      <c r="B471" t="s">
        <v>952</v>
      </c>
      <c r="C471" t="s">
        <v>26</v>
      </c>
      <c r="D471">
        <v>9</v>
      </c>
      <c r="E471" t="s">
        <v>11</v>
      </c>
      <c r="F471">
        <v>349</v>
      </c>
      <c r="G471">
        <v>1977558.59</v>
      </c>
      <c r="H471">
        <v>690167947.90999997</v>
      </c>
    </row>
    <row r="472" spans="1:8" x14ac:dyDescent="0.25">
      <c r="A472" t="s">
        <v>953</v>
      </c>
      <c r="B472" t="s">
        <v>954</v>
      </c>
      <c r="C472" t="s">
        <v>19</v>
      </c>
      <c r="D472">
        <v>24</v>
      </c>
      <c r="E472" t="s">
        <v>11</v>
      </c>
      <c r="F472">
        <v>306</v>
      </c>
      <c r="G472">
        <v>1808830.81</v>
      </c>
      <c r="H472">
        <v>553502227.86000001</v>
      </c>
    </row>
    <row r="473" spans="1:8" x14ac:dyDescent="0.25">
      <c r="A473" t="s">
        <v>955</v>
      </c>
      <c r="B473" t="s">
        <v>956</v>
      </c>
      <c r="C473" t="s">
        <v>26</v>
      </c>
      <c r="D473">
        <v>5</v>
      </c>
      <c r="E473" t="s">
        <v>11</v>
      </c>
      <c r="F473">
        <v>338</v>
      </c>
      <c r="G473">
        <v>2917602.12</v>
      </c>
      <c r="H473">
        <v>986149516.55999994</v>
      </c>
    </row>
    <row r="474" spans="1:8" x14ac:dyDescent="0.25">
      <c r="A474" t="s">
        <v>957</v>
      </c>
      <c r="B474" t="s">
        <v>958</v>
      </c>
      <c r="C474" t="s">
        <v>10</v>
      </c>
      <c r="D474">
        <v>14</v>
      </c>
      <c r="E474" t="s">
        <v>11</v>
      </c>
      <c r="F474">
        <v>55</v>
      </c>
      <c r="G474">
        <v>105840.67</v>
      </c>
      <c r="H474">
        <v>5821236.8499999996</v>
      </c>
    </row>
    <row r="475" spans="1:8" x14ac:dyDescent="0.25">
      <c r="A475" t="s">
        <v>959</v>
      </c>
      <c r="B475" t="s">
        <v>960</v>
      </c>
      <c r="C475" t="s">
        <v>26</v>
      </c>
      <c r="D475">
        <v>25</v>
      </c>
      <c r="E475" t="s">
        <v>11</v>
      </c>
      <c r="F475">
        <v>349</v>
      </c>
      <c r="G475">
        <v>3263896.44</v>
      </c>
      <c r="H475">
        <v>1139099857.5599999</v>
      </c>
    </row>
    <row r="476" spans="1:8" x14ac:dyDescent="0.25">
      <c r="A476" t="s">
        <v>961</v>
      </c>
      <c r="B476" t="s">
        <v>962</v>
      </c>
      <c r="C476" t="s">
        <v>19</v>
      </c>
      <c r="D476">
        <v>8</v>
      </c>
      <c r="E476" t="s">
        <v>11</v>
      </c>
      <c r="F476">
        <v>45</v>
      </c>
      <c r="G476">
        <v>1358157.55</v>
      </c>
      <c r="H476">
        <v>61117089.75</v>
      </c>
    </row>
    <row r="477" spans="1:8" x14ac:dyDescent="0.25">
      <c r="A477" t="s">
        <v>963</v>
      </c>
      <c r="B477" t="s">
        <v>964</v>
      </c>
      <c r="C477" t="s">
        <v>26</v>
      </c>
      <c r="D477">
        <v>19</v>
      </c>
      <c r="E477" t="s">
        <v>11</v>
      </c>
      <c r="F477">
        <v>27</v>
      </c>
      <c r="G477">
        <v>2642242.52</v>
      </c>
      <c r="H477">
        <v>71340548.040000007</v>
      </c>
    </row>
    <row r="478" spans="1:8" x14ac:dyDescent="0.25">
      <c r="A478" t="s">
        <v>965</v>
      </c>
      <c r="B478" t="s">
        <v>966</v>
      </c>
      <c r="C478" t="s">
        <v>10</v>
      </c>
      <c r="D478">
        <v>25</v>
      </c>
      <c r="E478" t="s">
        <v>11</v>
      </c>
      <c r="F478">
        <v>82</v>
      </c>
      <c r="G478">
        <v>765568.32</v>
      </c>
      <c r="H478">
        <v>62776602.240000002</v>
      </c>
    </row>
    <row r="479" spans="1:8" x14ac:dyDescent="0.25">
      <c r="A479" t="s">
        <v>967</v>
      </c>
      <c r="B479" t="s">
        <v>968</v>
      </c>
      <c r="C479" t="s">
        <v>19</v>
      </c>
      <c r="D479">
        <v>15</v>
      </c>
      <c r="E479" t="s">
        <v>11</v>
      </c>
      <c r="F479">
        <v>188</v>
      </c>
      <c r="G479">
        <v>154390.74</v>
      </c>
      <c r="H479">
        <v>29025459.120000001</v>
      </c>
    </row>
    <row r="480" spans="1:8" x14ac:dyDescent="0.25">
      <c r="A480" t="s">
        <v>969</v>
      </c>
      <c r="B480" t="s">
        <v>970</v>
      </c>
      <c r="C480" t="s">
        <v>10</v>
      </c>
      <c r="D480">
        <v>17</v>
      </c>
      <c r="E480" t="s">
        <v>11</v>
      </c>
      <c r="F480">
        <v>145</v>
      </c>
      <c r="G480">
        <v>778506.6</v>
      </c>
      <c r="H480">
        <v>112883457</v>
      </c>
    </row>
    <row r="481" spans="1:8" x14ac:dyDescent="0.25">
      <c r="A481" t="s">
        <v>971</v>
      </c>
      <c r="B481" t="s">
        <v>972</v>
      </c>
      <c r="C481" t="s">
        <v>14</v>
      </c>
      <c r="D481">
        <v>18</v>
      </c>
      <c r="E481" t="s">
        <v>11</v>
      </c>
      <c r="F481">
        <v>229</v>
      </c>
      <c r="G481">
        <v>747048.72</v>
      </c>
      <c r="H481">
        <v>171074156.88</v>
      </c>
    </row>
    <row r="482" spans="1:8" x14ac:dyDescent="0.25">
      <c r="A482" t="s">
        <v>973</v>
      </c>
      <c r="B482" t="s">
        <v>974</v>
      </c>
      <c r="C482" t="s">
        <v>14</v>
      </c>
      <c r="D482">
        <v>7</v>
      </c>
      <c r="E482" t="s">
        <v>11</v>
      </c>
      <c r="F482">
        <v>80</v>
      </c>
      <c r="G482">
        <v>84704.2</v>
      </c>
      <c r="H482">
        <v>6776336</v>
      </c>
    </row>
    <row r="483" spans="1:8" x14ac:dyDescent="0.25">
      <c r="A483" t="s">
        <v>975</v>
      </c>
      <c r="B483" t="s">
        <v>976</v>
      </c>
      <c r="C483" t="s">
        <v>10</v>
      </c>
      <c r="D483">
        <v>11</v>
      </c>
      <c r="E483" t="s">
        <v>11</v>
      </c>
      <c r="F483">
        <v>106</v>
      </c>
      <c r="G483">
        <v>667649.30000000005</v>
      </c>
      <c r="H483">
        <v>70770825.799999997</v>
      </c>
    </row>
    <row r="484" spans="1:8" x14ac:dyDescent="0.25">
      <c r="A484" t="s">
        <v>977</v>
      </c>
      <c r="B484" t="s">
        <v>978</v>
      </c>
      <c r="C484" t="s">
        <v>19</v>
      </c>
      <c r="D484">
        <v>23</v>
      </c>
      <c r="E484" t="s">
        <v>11</v>
      </c>
      <c r="F484">
        <v>133</v>
      </c>
      <c r="G484">
        <v>226673.4</v>
      </c>
      <c r="H484">
        <v>30147562.199999999</v>
      </c>
    </row>
    <row r="485" spans="1:8" x14ac:dyDescent="0.25">
      <c r="A485" t="s">
        <v>979</v>
      </c>
      <c r="B485" t="s">
        <v>980</v>
      </c>
      <c r="C485" t="s">
        <v>14</v>
      </c>
      <c r="D485">
        <v>21</v>
      </c>
      <c r="E485" t="s">
        <v>11</v>
      </c>
      <c r="F485">
        <v>56</v>
      </c>
      <c r="G485">
        <v>735569.67</v>
      </c>
      <c r="H485">
        <v>41191901.520000003</v>
      </c>
    </row>
    <row r="486" spans="1:8" x14ac:dyDescent="0.25">
      <c r="A486" t="s">
        <v>981</v>
      </c>
      <c r="B486" t="s">
        <v>982</v>
      </c>
      <c r="C486" t="s">
        <v>14</v>
      </c>
      <c r="D486">
        <v>11</v>
      </c>
      <c r="E486" t="s">
        <v>11</v>
      </c>
      <c r="F486">
        <v>269</v>
      </c>
      <c r="G486">
        <v>647711.31999999995</v>
      </c>
      <c r="H486">
        <v>174234345.08000001</v>
      </c>
    </row>
    <row r="487" spans="1:8" x14ac:dyDescent="0.25">
      <c r="A487" t="s">
        <v>983</v>
      </c>
      <c r="B487" t="s">
        <v>984</v>
      </c>
      <c r="C487" t="s">
        <v>10</v>
      </c>
      <c r="D487">
        <v>6</v>
      </c>
      <c r="E487" t="s">
        <v>11</v>
      </c>
      <c r="F487">
        <v>130</v>
      </c>
      <c r="G487">
        <v>953375.89</v>
      </c>
      <c r="H487">
        <v>123938865.7</v>
      </c>
    </row>
    <row r="488" spans="1:8" x14ac:dyDescent="0.25">
      <c r="A488" t="s">
        <v>985</v>
      </c>
      <c r="B488" t="s">
        <v>986</v>
      </c>
      <c r="C488" t="s">
        <v>26</v>
      </c>
      <c r="D488">
        <v>3</v>
      </c>
      <c r="E488" t="s">
        <v>11</v>
      </c>
      <c r="F488">
        <v>189</v>
      </c>
      <c r="G488">
        <v>832523.36</v>
      </c>
      <c r="H488">
        <v>157346915.03999999</v>
      </c>
    </row>
    <row r="489" spans="1:8" x14ac:dyDescent="0.25">
      <c r="A489" t="s">
        <v>987</v>
      </c>
      <c r="B489" t="s">
        <v>988</v>
      </c>
      <c r="C489" t="s">
        <v>14</v>
      </c>
      <c r="D489">
        <v>6</v>
      </c>
      <c r="E489" t="s">
        <v>11</v>
      </c>
      <c r="F489">
        <v>342</v>
      </c>
      <c r="G489">
        <v>733216.1</v>
      </c>
      <c r="H489">
        <v>250759906.19999999</v>
      </c>
    </row>
    <row r="490" spans="1:8" x14ac:dyDescent="0.25">
      <c r="A490" t="s">
        <v>989</v>
      </c>
      <c r="B490" t="s">
        <v>990</v>
      </c>
      <c r="C490" t="s">
        <v>14</v>
      </c>
      <c r="D490">
        <v>7</v>
      </c>
      <c r="E490" t="s">
        <v>11</v>
      </c>
      <c r="F490">
        <v>109</v>
      </c>
      <c r="G490">
        <v>1096040.6000000001</v>
      </c>
      <c r="H490">
        <v>119468425.40000001</v>
      </c>
    </row>
    <row r="491" spans="1:8" x14ac:dyDescent="0.25">
      <c r="A491" t="s">
        <v>991</v>
      </c>
      <c r="B491" t="s">
        <v>992</v>
      </c>
      <c r="C491" t="s">
        <v>10</v>
      </c>
      <c r="D491">
        <v>22</v>
      </c>
      <c r="E491" t="s">
        <v>11</v>
      </c>
      <c r="F491">
        <v>27</v>
      </c>
      <c r="G491">
        <v>101155.14</v>
      </c>
      <c r="H491">
        <v>2731188.78</v>
      </c>
    </row>
    <row r="492" spans="1:8" x14ac:dyDescent="0.25">
      <c r="A492" t="s">
        <v>993</v>
      </c>
      <c r="B492" t="s">
        <v>994</v>
      </c>
      <c r="C492" t="s">
        <v>26</v>
      </c>
      <c r="D492">
        <v>15</v>
      </c>
      <c r="E492" t="s">
        <v>11</v>
      </c>
      <c r="F492">
        <v>285</v>
      </c>
      <c r="G492">
        <v>1140640.5900000001</v>
      </c>
      <c r="H492">
        <v>325082568.14999998</v>
      </c>
    </row>
    <row r="493" spans="1:8" x14ac:dyDescent="0.25">
      <c r="A493" t="s">
        <v>995</v>
      </c>
      <c r="B493" t="s">
        <v>996</v>
      </c>
      <c r="C493" t="s">
        <v>19</v>
      </c>
      <c r="D493">
        <v>7</v>
      </c>
      <c r="E493" t="s">
        <v>11</v>
      </c>
      <c r="F493">
        <v>104</v>
      </c>
      <c r="G493">
        <v>650448.02</v>
      </c>
      <c r="H493">
        <v>67646594.079999998</v>
      </c>
    </row>
    <row r="494" spans="1:8" x14ac:dyDescent="0.25">
      <c r="A494" t="s">
        <v>997</v>
      </c>
      <c r="B494" t="s">
        <v>998</v>
      </c>
      <c r="C494" t="s">
        <v>10</v>
      </c>
      <c r="D494">
        <v>10</v>
      </c>
      <c r="E494" t="s">
        <v>11</v>
      </c>
      <c r="F494">
        <v>64</v>
      </c>
      <c r="G494">
        <v>510484.67</v>
      </c>
      <c r="H494">
        <v>32671018.879999999</v>
      </c>
    </row>
    <row r="495" spans="1:8" x14ac:dyDescent="0.25">
      <c r="A495" t="s">
        <v>999</v>
      </c>
      <c r="B495" t="s">
        <v>1000</v>
      </c>
      <c r="C495" t="s">
        <v>26</v>
      </c>
      <c r="D495">
        <v>9</v>
      </c>
      <c r="E495" t="s">
        <v>11</v>
      </c>
      <c r="F495">
        <v>195</v>
      </c>
      <c r="G495">
        <v>501634.59</v>
      </c>
      <c r="H495">
        <v>97818745.049999997</v>
      </c>
    </row>
    <row r="496" spans="1:8" x14ac:dyDescent="0.25">
      <c r="A496" t="s">
        <v>1001</v>
      </c>
      <c r="B496" t="s">
        <v>1002</v>
      </c>
      <c r="C496" t="s">
        <v>19</v>
      </c>
      <c r="D496">
        <v>22</v>
      </c>
      <c r="E496" t="s">
        <v>11</v>
      </c>
      <c r="F496">
        <v>312</v>
      </c>
      <c r="G496">
        <v>1823643.52</v>
      </c>
      <c r="H496">
        <v>568976778.24000001</v>
      </c>
    </row>
    <row r="497" spans="1:8" x14ac:dyDescent="0.25">
      <c r="A497" t="s">
        <v>1003</v>
      </c>
      <c r="B497" t="s">
        <v>1004</v>
      </c>
      <c r="C497" t="s">
        <v>10</v>
      </c>
      <c r="D497">
        <v>21</v>
      </c>
      <c r="E497" t="s">
        <v>11</v>
      </c>
      <c r="F497">
        <v>344</v>
      </c>
      <c r="G497">
        <v>413857.84</v>
      </c>
      <c r="H497">
        <v>142367096.96000001</v>
      </c>
    </row>
    <row r="498" spans="1:8" x14ac:dyDescent="0.25">
      <c r="A498" t="s">
        <v>1005</v>
      </c>
      <c r="B498" t="s">
        <v>1006</v>
      </c>
      <c r="C498" t="s">
        <v>14</v>
      </c>
      <c r="D498">
        <v>16</v>
      </c>
      <c r="E498" t="s">
        <v>11</v>
      </c>
      <c r="F498">
        <v>88</v>
      </c>
      <c r="G498">
        <v>833405.18</v>
      </c>
      <c r="H498">
        <v>73339655.840000004</v>
      </c>
    </row>
    <row r="499" spans="1:8" x14ac:dyDescent="0.25">
      <c r="A499" t="s">
        <v>1007</v>
      </c>
      <c r="B499" t="s">
        <v>1008</v>
      </c>
      <c r="C499" t="s">
        <v>14</v>
      </c>
      <c r="D499">
        <v>20</v>
      </c>
      <c r="E499" t="s">
        <v>11</v>
      </c>
      <c r="F499">
        <v>115</v>
      </c>
      <c r="G499">
        <v>190479.45</v>
      </c>
      <c r="H499">
        <v>21905136.75</v>
      </c>
    </row>
    <row r="500" spans="1:8" x14ac:dyDescent="0.25">
      <c r="A500" t="s">
        <v>1009</v>
      </c>
      <c r="B500" t="s">
        <v>1010</v>
      </c>
      <c r="C500" t="s">
        <v>10</v>
      </c>
      <c r="D500">
        <v>5</v>
      </c>
      <c r="E500" t="s">
        <v>11</v>
      </c>
      <c r="F500">
        <v>46</v>
      </c>
      <c r="G500">
        <v>1282274.6200000001</v>
      </c>
      <c r="H500">
        <v>58984632.520000003</v>
      </c>
    </row>
    <row r="501" spans="1:8" x14ac:dyDescent="0.25">
      <c r="A501" t="s">
        <v>1011</v>
      </c>
      <c r="B501" t="s">
        <v>1012</v>
      </c>
      <c r="C501" t="s">
        <v>26</v>
      </c>
      <c r="D501">
        <v>23</v>
      </c>
      <c r="E501" t="s">
        <v>11</v>
      </c>
      <c r="F501">
        <v>299</v>
      </c>
      <c r="G501">
        <v>1900227.26</v>
      </c>
      <c r="H501">
        <v>568167950.74000001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01"/>
  <sheetViews>
    <sheetView workbookViewId="0">
      <selection activeCell="B10" sqref="B10:F10"/>
    </sheetView>
  </sheetViews>
  <sheetFormatPr baseColWidth="10" defaultColWidth="9.140625" defaultRowHeight="15" x14ac:dyDescent="0.25"/>
  <cols>
    <col min="1" max="1" width="17.42578125" customWidth="1"/>
    <col min="2" max="2" width="12.28515625" customWidth="1"/>
    <col min="3" max="3" width="28" customWidth="1"/>
    <col min="4" max="4" width="23" customWidth="1"/>
    <col min="5" max="5" width="15" customWidth="1"/>
    <col min="6" max="6" width="12" customWidth="1"/>
    <col min="7" max="7" width="14" customWidth="1"/>
    <col min="8" max="8" width="12" customWidth="1"/>
  </cols>
  <sheetData>
    <row r="1" spans="1:8" x14ac:dyDescent="0.25">
      <c r="A1" s="1" t="s">
        <v>1013</v>
      </c>
      <c r="B1" s="1" t="s">
        <v>0</v>
      </c>
      <c r="C1" s="1" t="s">
        <v>1</v>
      </c>
      <c r="D1" s="1" t="s">
        <v>2</v>
      </c>
      <c r="E1" s="1" t="s">
        <v>6</v>
      </c>
      <c r="F1" s="1" t="s">
        <v>1014</v>
      </c>
      <c r="G1" s="1" t="s">
        <v>7</v>
      </c>
      <c r="H1" s="1" t="s">
        <v>1015</v>
      </c>
    </row>
    <row r="2" spans="1:8" x14ac:dyDescent="0.25">
      <c r="A2" t="s">
        <v>1016</v>
      </c>
      <c r="B2" t="s">
        <v>441</v>
      </c>
      <c r="C2" t="s">
        <v>442</v>
      </c>
      <c r="D2" t="s">
        <v>26</v>
      </c>
      <c r="E2">
        <v>3694748.41</v>
      </c>
      <c r="F2">
        <v>70</v>
      </c>
      <c r="G2">
        <v>258632388.69999999</v>
      </c>
      <c r="H2" t="s">
        <v>1017</v>
      </c>
    </row>
    <row r="3" spans="1:8" x14ac:dyDescent="0.25">
      <c r="A3" t="s">
        <v>1018</v>
      </c>
      <c r="B3" t="s">
        <v>767</v>
      </c>
      <c r="C3" t="s">
        <v>768</v>
      </c>
      <c r="D3" t="s">
        <v>14</v>
      </c>
      <c r="E3">
        <v>81234.89</v>
      </c>
      <c r="F3">
        <v>109</v>
      </c>
      <c r="G3">
        <v>8854603.0099999998</v>
      </c>
      <c r="H3" t="s">
        <v>1017</v>
      </c>
    </row>
    <row r="4" spans="1:8" x14ac:dyDescent="0.25">
      <c r="A4" t="s">
        <v>1018</v>
      </c>
      <c r="B4" t="s">
        <v>761</v>
      </c>
      <c r="C4" t="s">
        <v>762</v>
      </c>
      <c r="D4" t="s">
        <v>14</v>
      </c>
      <c r="E4">
        <v>873960.6</v>
      </c>
      <c r="F4">
        <v>11</v>
      </c>
      <c r="G4">
        <v>9613566.5999999996</v>
      </c>
      <c r="H4" t="s">
        <v>1017</v>
      </c>
    </row>
    <row r="5" spans="1:8" x14ac:dyDescent="0.25">
      <c r="A5" t="s">
        <v>1018</v>
      </c>
      <c r="B5" t="s">
        <v>137</v>
      </c>
      <c r="C5" t="s">
        <v>138</v>
      </c>
      <c r="D5" t="s">
        <v>10</v>
      </c>
      <c r="E5">
        <v>176949.55</v>
      </c>
      <c r="F5">
        <v>110</v>
      </c>
      <c r="G5">
        <v>19464450.5</v>
      </c>
      <c r="H5" t="s">
        <v>1017</v>
      </c>
    </row>
    <row r="6" spans="1:8" x14ac:dyDescent="0.25">
      <c r="A6" t="s">
        <v>1019</v>
      </c>
      <c r="B6" t="s">
        <v>267</v>
      </c>
      <c r="C6" t="s">
        <v>268</v>
      </c>
      <c r="D6" t="s">
        <v>14</v>
      </c>
      <c r="E6">
        <v>571779.5</v>
      </c>
      <c r="F6">
        <v>75</v>
      </c>
      <c r="G6">
        <v>42883462.5</v>
      </c>
      <c r="H6" t="s">
        <v>1017</v>
      </c>
    </row>
    <row r="7" spans="1:8" x14ac:dyDescent="0.25">
      <c r="A7" t="s">
        <v>1019</v>
      </c>
      <c r="B7" t="s">
        <v>415</v>
      </c>
      <c r="C7" t="s">
        <v>416</v>
      </c>
      <c r="D7" t="s">
        <v>19</v>
      </c>
      <c r="E7">
        <v>716657.07</v>
      </c>
      <c r="F7">
        <v>17</v>
      </c>
      <c r="G7">
        <v>12183170.189999999</v>
      </c>
      <c r="H7" t="s">
        <v>1017</v>
      </c>
    </row>
    <row r="8" spans="1:8" x14ac:dyDescent="0.25">
      <c r="A8" t="s">
        <v>1019</v>
      </c>
      <c r="B8" t="s">
        <v>123</v>
      </c>
      <c r="C8" t="s">
        <v>124</v>
      </c>
      <c r="D8" t="s">
        <v>19</v>
      </c>
      <c r="E8">
        <v>459813.01</v>
      </c>
      <c r="F8">
        <v>40</v>
      </c>
      <c r="G8">
        <v>18392520.399999999</v>
      </c>
      <c r="H8" t="s">
        <v>1017</v>
      </c>
    </row>
    <row r="9" spans="1:8" x14ac:dyDescent="0.25">
      <c r="A9" t="s">
        <v>1020</v>
      </c>
      <c r="B9" t="s">
        <v>415</v>
      </c>
      <c r="C9" t="s">
        <v>416</v>
      </c>
      <c r="D9" t="s">
        <v>19</v>
      </c>
      <c r="E9">
        <v>718774.24</v>
      </c>
      <c r="F9">
        <v>87</v>
      </c>
      <c r="G9">
        <v>62533358.880000003</v>
      </c>
      <c r="H9" t="s">
        <v>1017</v>
      </c>
    </row>
    <row r="10" spans="1:8" x14ac:dyDescent="0.25">
      <c r="A10" t="s">
        <v>1021</v>
      </c>
      <c r="B10" t="s">
        <v>209</v>
      </c>
      <c r="C10" t="s">
        <v>210</v>
      </c>
      <c r="D10" t="s">
        <v>10</v>
      </c>
      <c r="E10">
        <v>947189.92</v>
      </c>
      <c r="F10">
        <v>71</v>
      </c>
      <c r="G10">
        <v>67250484.319999993</v>
      </c>
      <c r="H10" t="s">
        <v>1017</v>
      </c>
    </row>
    <row r="11" spans="1:8" x14ac:dyDescent="0.25">
      <c r="A11" t="s">
        <v>1021</v>
      </c>
      <c r="B11" t="s">
        <v>335</v>
      </c>
      <c r="C11" t="s">
        <v>336</v>
      </c>
      <c r="D11" t="s">
        <v>10</v>
      </c>
      <c r="E11">
        <v>830736.22</v>
      </c>
      <c r="F11">
        <v>51</v>
      </c>
      <c r="G11">
        <v>42367547.219999999</v>
      </c>
      <c r="H11" t="s">
        <v>1017</v>
      </c>
    </row>
    <row r="12" spans="1:8" x14ac:dyDescent="0.25">
      <c r="A12" t="s">
        <v>1022</v>
      </c>
      <c r="B12" t="s">
        <v>949</v>
      </c>
      <c r="C12" t="s">
        <v>950</v>
      </c>
      <c r="D12" t="s">
        <v>19</v>
      </c>
      <c r="E12">
        <v>1362881.12</v>
      </c>
      <c r="F12">
        <v>36</v>
      </c>
      <c r="G12">
        <v>49063720.32</v>
      </c>
      <c r="H12" t="s">
        <v>1017</v>
      </c>
    </row>
    <row r="13" spans="1:8" x14ac:dyDescent="0.25">
      <c r="A13" t="s">
        <v>1022</v>
      </c>
      <c r="B13" t="s">
        <v>857</v>
      </c>
      <c r="C13" t="s">
        <v>858</v>
      </c>
      <c r="D13" t="s">
        <v>10</v>
      </c>
      <c r="E13">
        <v>609420.31000000006</v>
      </c>
      <c r="F13">
        <v>10</v>
      </c>
      <c r="G13">
        <v>6094203.0999999996</v>
      </c>
      <c r="H13" t="s">
        <v>1017</v>
      </c>
    </row>
    <row r="14" spans="1:8" x14ac:dyDescent="0.25">
      <c r="A14" t="s">
        <v>1023</v>
      </c>
      <c r="B14" t="s">
        <v>22</v>
      </c>
      <c r="C14" t="s">
        <v>23</v>
      </c>
      <c r="D14" t="s">
        <v>19</v>
      </c>
      <c r="E14">
        <v>92698.880000000005</v>
      </c>
      <c r="F14">
        <v>40</v>
      </c>
      <c r="G14">
        <v>3707955.2000000002</v>
      </c>
      <c r="H14" t="s">
        <v>1017</v>
      </c>
    </row>
    <row r="15" spans="1:8" x14ac:dyDescent="0.25">
      <c r="A15" t="s">
        <v>1023</v>
      </c>
      <c r="B15" t="s">
        <v>315</v>
      </c>
      <c r="C15" t="s">
        <v>316</v>
      </c>
      <c r="D15" t="s">
        <v>26</v>
      </c>
      <c r="E15">
        <v>985650.43</v>
      </c>
      <c r="F15">
        <v>58</v>
      </c>
      <c r="G15">
        <v>57167724.939999998</v>
      </c>
      <c r="H15" t="s">
        <v>1017</v>
      </c>
    </row>
    <row r="16" spans="1:8" x14ac:dyDescent="0.25">
      <c r="A16" t="s">
        <v>1023</v>
      </c>
      <c r="B16" t="s">
        <v>327</v>
      </c>
      <c r="C16" t="s">
        <v>328</v>
      </c>
      <c r="D16" t="s">
        <v>26</v>
      </c>
      <c r="E16">
        <v>3431409.55</v>
      </c>
      <c r="F16">
        <v>75</v>
      </c>
      <c r="G16">
        <v>257355716.25</v>
      </c>
      <c r="H16" t="s">
        <v>1017</v>
      </c>
    </row>
    <row r="17" spans="1:8" x14ac:dyDescent="0.25">
      <c r="A17" t="s">
        <v>1023</v>
      </c>
      <c r="B17" t="s">
        <v>321</v>
      </c>
      <c r="C17" t="s">
        <v>322</v>
      </c>
      <c r="D17" t="s">
        <v>19</v>
      </c>
      <c r="E17">
        <v>1629110.82</v>
      </c>
      <c r="F17">
        <v>74</v>
      </c>
      <c r="G17">
        <v>120554200.68000001</v>
      </c>
      <c r="H17" t="s">
        <v>1017</v>
      </c>
    </row>
    <row r="18" spans="1:8" x14ac:dyDescent="0.25">
      <c r="A18" t="s">
        <v>1023</v>
      </c>
      <c r="B18" t="s">
        <v>543</v>
      </c>
      <c r="C18" t="s">
        <v>544</v>
      </c>
      <c r="D18" t="s">
        <v>10</v>
      </c>
      <c r="E18">
        <v>1258335.03</v>
      </c>
      <c r="F18">
        <v>34</v>
      </c>
      <c r="G18">
        <v>42783391.020000003</v>
      </c>
      <c r="H18" t="s">
        <v>1017</v>
      </c>
    </row>
    <row r="19" spans="1:8" x14ac:dyDescent="0.25">
      <c r="A19" t="s">
        <v>1024</v>
      </c>
      <c r="B19" t="s">
        <v>411</v>
      </c>
      <c r="C19" t="s">
        <v>412</v>
      </c>
      <c r="D19" t="s">
        <v>14</v>
      </c>
      <c r="E19">
        <v>702403.17</v>
      </c>
      <c r="F19">
        <v>85</v>
      </c>
      <c r="G19">
        <v>59704269.450000003</v>
      </c>
      <c r="H19" t="s">
        <v>1017</v>
      </c>
    </row>
    <row r="20" spans="1:8" x14ac:dyDescent="0.25">
      <c r="A20" t="s">
        <v>1024</v>
      </c>
      <c r="B20" t="s">
        <v>669</v>
      </c>
      <c r="C20" t="s">
        <v>670</v>
      </c>
      <c r="D20" t="s">
        <v>10</v>
      </c>
      <c r="E20">
        <v>77492.899999999994</v>
      </c>
      <c r="F20">
        <v>52</v>
      </c>
      <c r="G20">
        <v>4029630.8</v>
      </c>
      <c r="H20" t="s">
        <v>1017</v>
      </c>
    </row>
    <row r="21" spans="1:8" x14ac:dyDescent="0.25">
      <c r="A21" t="s">
        <v>1024</v>
      </c>
      <c r="B21" t="s">
        <v>705</v>
      </c>
      <c r="C21" t="s">
        <v>706</v>
      </c>
      <c r="D21" t="s">
        <v>10</v>
      </c>
      <c r="E21">
        <v>1533312.91</v>
      </c>
      <c r="F21">
        <v>118</v>
      </c>
      <c r="G21">
        <v>180930923.38</v>
      </c>
      <c r="H21" t="s">
        <v>1017</v>
      </c>
    </row>
    <row r="22" spans="1:8" x14ac:dyDescent="0.25">
      <c r="A22" t="s">
        <v>1025</v>
      </c>
      <c r="B22" t="s">
        <v>857</v>
      </c>
      <c r="C22" t="s">
        <v>858</v>
      </c>
      <c r="D22" t="s">
        <v>10</v>
      </c>
      <c r="E22">
        <v>625743.84</v>
      </c>
      <c r="F22">
        <v>62</v>
      </c>
      <c r="G22">
        <v>38796118.079999998</v>
      </c>
      <c r="H22" t="s">
        <v>1017</v>
      </c>
    </row>
    <row r="23" spans="1:8" x14ac:dyDescent="0.25">
      <c r="A23" t="s">
        <v>1025</v>
      </c>
      <c r="B23" t="s">
        <v>335</v>
      </c>
      <c r="C23" t="s">
        <v>336</v>
      </c>
      <c r="D23" t="s">
        <v>10</v>
      </c>
      <c r="E23">
        <v>833624.91</v>
      </c>
      <c r="F23">
        <v>4</v>
      </c>
      <c r="G23">
        <v>3334499.64</v>
      </c>
      <c r="H23" t="s">
        <v>1017</v>
      </c>
    </row>
    <row r="24" spans="1:8" x14ac:dyDescent="0.25">
      <c r="A24" t="s">
        <v>1025</v>
      </c>
      <c r="B24" t="s">
        <v>759</v>
      </c>
      <c r="C24" t="s">
        <v>760</v>
      </c>
      <c r="D24" t="s">
        <v>10</v>
      </c>
      <c r="E24">
        <v>365186.3</v>
      </c>
      <c r="F24">
        <v>12</v>
      </c>
      <c r="G24">
        <v>4382235.5999999996</v>
      </c>
      <c r="H24" t="s">
        <v>1017</v>
      </c>
    </row>
    <row r="25" spans="1:8" x14ac:dyDescent="0.25">
      <c r="A25" t="s">
        <v>1025</v>
      </c>
      <c r="B25" t="s">
        <v>707</v>
      </c>
      <c r="C25" t="s">
        <v>708</v>
      </c>
      <c r="D25" t="s">
        <v>14</v>
      </c>
      <c r="E25">
        <v>520969.67</v>
      </c>
      <c r="F25">
        <v>45</v>
      </c>
      <c r="G25">
        <v>23443635.149999999</v>
      </c>
      <c r="H25" t="s">
        <v>1017</v>
      </c>
    </row>
    <row r="26" spans="1:8" x14ac:dyDescent="0.25">
      <c r="A26" t="s">
        <v>1026</v>
      </c>
      <c r="B26" t="s">
        <v>991</v>
      </c>
      <c r="C26" t="s">
        <v>992</v>
      </c>
      <c r="D26" t="s">
        <v>10</v>
      </c>
      <c r="E26">
        <v>95527.039999999994</v>
      </c>
      <c r="F26">
        <v>57</v>
      </c>
      <c r="G26">
        <v>5445041.2800000003</v>
      </c>
      <c r="H26" t="s">
        <v>1017</v>
      </c>
    </row>
    <row r="27" spans="1:8" x14ac:dyDescent="0.25">
      <c r="A27" t="s">
        <v>1026</v>
      </c>
      <c r="B27" t="s">
        <v>955</v>
      </c>
      <c r="C27" t="s">
        <v>956</v>
      </c>
      <c r="D27" t="s">
        <v>26</v>
      </c>
      <c r="E27">
        <v>2800614.4</v>
      </c>
      <c r="F27">
        <v>103</v>
      </c>
      <c r="G27">
        <v>288463283.19999999</v>
      </c>
      <c r="H27" t="s">
        <v>1017</v>
      </c>
    </row>
    <row r="28" spans="1:8" x14ac:dyDescent="0.25">
      <c r="A28" t="s">
        <v>1026</v>
      </c>
      <c r="B28" t="s">
        <v>809</v>
      </c>
      <c r="C28" t="s">
        <v>810</v>
      </c>
      <c r="D28" t="s">
        <v>26</v>
      </c>
      <c r="E28">
        <v>2575455.13</v>
      </c>
      <c r="F28">
        <v>58</v>
      </c>
      <c r="G28">
        <v>149376397.53999999</v>
      </c>
      <c r="H28" t="s">
        <v>1017</v>
      </c>
    </row>
    <row r="29" spans="1:8" x14ac:dyDescent="0.25">
      <c r="A29" t="s">
        <v>1026</v>
      </c>
      <c r="B29" t="s">
        <v>805</v>
      </c>
      <c r="C29" t="s">
        <v>806</v>
      </c>
      <c r="D29" t="s">
        <v>26</v>
      </c>
      <c r="E29">
        <v>2735804.25</v>
      </c>
      <c r="F29">
        <v>89</v>
      </c>
      <c r="G29">
        <v>243486578.25</v>
      </c>
      <c r="H29" t="s">
        <v>1017</v>
      </c>
    </row>
    <row r="30" spans="1:8" x14ac:dyDescent="0.25">
      <c r="A30" t="s">
        <v>1027</v>
      </c>
      <c r="B30" t="s">
        <v>611</v>
      </c>
      <c r="C30" t="s">
        <v>612</v>
      </c>
      <c r="D30" t="s">
        <v>10</v>
      </c>
      <c r="E30">
        <v>1589603.93</v>
      </c>
      <c r="F30">
        <v>28</v>
      </c>
      <c r="G30">
        <v>44508910.039999999</v>
      </c>
      <c r="H30" t="s">
        <v>1017</v>
      </c>
    </row>
    <row r="31" spans="1:8" x14ac:dyDescent="0.25">
      <c r="A31" t="s">
        <v>1027</v>
      </c>
      <c r="B31" t="s">
        <v>787</v>
      </c>
      <c r="C31" t="s">
        <v>788</v>
      </c>
      <c r="D31" t="s">
        <v>19</v>
      </c>
      <c r="E31">
        <v>2028945.56</v>
      </c>
      <c r="F31">
        <v>4</v>
      </c>
      <c r="G31">
        <v>8115782.2400000002</v>
      </c>
      <c r="H31" t="s">
        <v>1017</v>
      </c>
    </row>
    <row r="32" spans="1:8" x14ac:dyDescent="0.25">
      <c r="A32" t="s">
        <v>1027</v>
      </c>
      <c r="B32" t="s">
        <v>559</v>
      </c>
      <c r="C32" t="s">
        <v>560</v>
      </c>
      <c r="D32" t="s">
        <v>19</v>
      </c>
      <c r="E32">
        <v>1647010.39</v>
      </c>
      <c r="F32">
        <v>87</v>
      </c>
      <c r="G32">
        <v>143289903.93000001</v>
      </c>
      <c r="H32" t="s">
        <v>1017</v>
      </c>
    </row>
    <row r="33" spans="1:8" x14ac:dyDescent="0.25">
      <c r="A33" t="s">
        <v>1027</v>
      </c>
      <c r="B33" t="s">
        <v>547</v>
      </c>
      <c r="C33" t="s">
        <v>548</v>
      </c>
      <c r="D33" t="s">
        <v>19</v>
      </c>
      <c r="E33">
        <v>517785.17</v>
      </c>
      <c r="F33">
        <v>12</v>
      </c>
      <c r="G33">
        <v>6213422.04</v>
      </c>
      <c r="H33" t="s">
        <v>1017</v>
      </c>
    </row>
    <row r="34" spans="1:8" x14ac:dyDescent="0.25">
      <c r="A34" t="s">
        <v>1028</v>
      </c>
      <c r="B34" t="s">
        <v>181</v>
      </c>
      <c r="C34" t="s">
        <v>182</v>
      </c>
      <c r="D34" t="s">
        <v>14</v>
      </c>
      <c r="E34">
        <v>938329.81</v>
      </c>
      <c r="F34">
        <v>110</v>
      </c>
      <c r="G34">
        <v>103216279.09999999</v>
      </c>
      <c r="H34" t="s">
        <v>1017</v>
      </c>
    </row>
    <row r="35" spans="1:8" x14ac:dyDescent="0.25">
      <c r="A35" t="s">
        <v>1028</v>
      </c>
      <c r="B35" t="s">
        <v>687</v>
      </c>
      <c r="C35" t="s">
        <v>688</v>
      </c>
      <c r="D35" t="s">
        <v>19</v>
      </c>
      <c r="E35">
        <v>1875833.76</v>
      </c>
      <c r="F35">
        <v>78</v>
      </c>
      <c r="G35">
        <v>146315033.28</v>
      </c>
      <c r="H35" t="s">
        <v>1017</v>
      </c>
    </row>
    <row r="36" spans="1:8" x14ac:dyDescent="0.25">
      <c r="A36" t="s">
        <v>1029</v>
      </c>
      <c r="B36" t="s">
        <v>475</v>
      </c>
      <c r="C36" t="s">
        <v>476</v>
      </c>
      <c r="D36" t="s">
        <v>10</v>
      </c>
      <c r="E36">
        <v>1396016.95</v>
      </c>
      <c r="F36">
        <v>55</v>
      </c>
      <c r="G36">
        <v>76780932.25</v>
      </c>
      <c r="H36" t="s">
        <v>1017</v>
      </c>
    </row>
    <row r="37" spans="1:8" x14ac:dyDescent="0.25">
      <c r="A37" t="s">
        <v>1029</v>
      </c>
      <c r="B37" t="s">
        <v>649</v>
      </c>
      <c r="C37" t="s">
        <v>650</v>
      </c>
      <c r="D37" t="s">
        <v>10</v>
      </c>
      <c r="E37">
        <v>549869.59</v>
      </c>
      <c r="F37">
        <v>87</v>
      </c>
      <c r="G37">
        <v>47838654.329999998</v>
      </c>
      <c r="H37" t="s">
        <v>1017</v>
      </c>
    </row>
    <row r="38" spans="1:8" x14ac:dyDescent="0.25">
      <c r="A38" t="s">
        <v>1030</v>
      </c>
      <c r="B38" t="s">
        <v>441</v>
      </c>
      <c r="C38" t="s">
        <v>442</v>
      </c>
      <c r="D38" t="s">
        <v>26</v>
      </c>
      <c r="E38">
        <v>4123143.25</v>
      </c>
      <c r="F38">
        <v>72</v>
      </c>
      <c r="G38">
        <v>296866314</v>
      </c>
      <c r="H38" t="s">
        <v>1017</v>
      </c>
    </row>
    <row r="39" spans="1:8" x14ac:dyDescent="0.25">
      <c r="A39" t="s">
        <v>1030</v>
      </c>
      <c r="B39" t="s">
        <v>983</v>
      </c>
      <c r="C39" t="s">
        <v>984</v>
      </c>
      <c r="D39" t="s">
        <v>10</v>
      </c>
      <c r="E39">
        <v>912675.66</v>
      </c>
      <c r="F39">
        <v>119</v>
      </c>
      <c r="G39">
        <v>108608403.54000001</v>
      </c>
      <c r="H39" t="s">
        <v>1017</v>
      </c>
    </row>
    <row r="40" spans="1:8" x14ac:dyDescent="0.25">
      <c r="A40" t="s">
        <v>1031</v>
      </c>
      <c r="B40" t="s">
        <v>907</v>
      </c>
      <c r="C40" t="s">
        <v>908</v>
      </c>
      <c r="D40" t="s">
        <v>19</v>
      </c>
      <c r="E40">
        <v>552599.43000000005</v>
      </c>
      <c r="F40">
        <v>60</v>
      </c>
      <c r="G40">
        <v>33155965.800000001</v>
      </c>
      <c r="H40" t="s">
        <v>1017</v>
      </c>
    </row>
    <row r="41" spans="1:8" x14ac:dyDescent="0.25">
      <c r="A41" t="s">
        <v>1032</v>
      </c>
      <c r="B41" t="s">
        <v>737</v>
      </c>
      <c r="C41" t="s">
        <v>738</v>
      </c>
      <c r="D41" t="s">
        <v>14</v>
      </c>
      <c r="E41">
        <v>1094478.99</v>
      </c>
      <c r="F41">
        <v>72</v>
      </c>
      <c r="G41">
        <v>78802487.280000001</v>
      </c>
      <c r="H41" t="s">
        <v>1017</v>
      </c>
    </row>
    <row r="42" spans="1:8" x14ac:dyDescent="0.25">
      <c r="A42" t="s">
        <v>1032</v>
      </c>
      <c r="B42" t="s">
        <v>593</v>
      </c>
      <c r="C42" t="s">
        <v>594</v>
      </c>
      <c r="D42" t="s">
        <v>19</v>
      </c>
      <c r="E42">
        <v>605232.25</v>
      </c>
      <c r="F42">
        <v>61</v>
      </c>
      <c r="G42">
        <v>36919167.25</v>
      </c>
      <c r="H42" t="s">
        <v>1017</v>
      </c>
    </row>
    <row r="43" spans="1:8" x14ac:dyDescent="0.25">
      <c r="A43" t="s">
        <v>1033</v>
      </c>
      <c r="B43" t="s">
        <v>15</v>
      </c>
      <c r="C43" t="s">
        <v>16</v>
      </c>
      <c r="D43" t="s">
        <v>10</v>
      </c>
      <c r="E43">
        <v>1573790.45</v>
      </c>
      <c r="F43">
        <v>20</v>
      </c>
      <c r="G43">
        <v>31475809</v>
      </c>
      <c r="H43" t="s">
        <v>1017</v>
      </c>
    </row>
    <row r="44" spans="1:8" x14ac:dyDescent="0.25">
      <c r="A44" t="s">
        <v>1034</v>
      </c>
      <c r="B44" t="s">
        <v>599</v>
      </c>
      <c r="C44" t="s">
        <v>600</v>
      </c>
      <c r="D44" t="s">
        <v>26</v>
      </c>
      <c r="E44">
        <v>2377922.46</v>
      </c>
      <c r="F44">
        <v>108</v>
      </c>
      <c r="G44">
        <v>256815625.68000001</v>
      </c>
      <c r="H44" t="s">
        <v>1017</v>
      </c>
    </row>
    <row r="45" spans="1:8" x14ac:dyDescent="0.25">
      <c r="A45" t="s">
        <v>1035</v>
      </c>
      <c r="B45" t="s">
        <v>965</v>
      </c>
      <c r="C45" t="s">
        <v>966</v>
      </c>
      <c r="D45" t="s">
        <v>10</v>
      </c>
      <c r="E45">
        <v>781518.88</v>
      </c>
      <c r="F45">
        <v>68</v>
      </c>
      <c r="G45">
        <v>53143283.840000004</v>
      </c>
      <c r="H45" t="s">
        <v>1017</v>
      </c>
    </row>
    <row r="46" spans="1:8" x14ac:dyDescent="0.25">
      <c r="A46" t="s">
        <v>1036</v>
      </c>
      <c r="B46" t="s">
        <v>655</v>
      </c>
      <c r="C46" t="s">
        <v>656</v>
      </c>
      <c r="D46" t="s">
        <v>19</v>
      </c>
      <c r="E46">
        <v>794251.84</v>
      </c>
      <c r="F46">
        <v>44</v>
      </c>
      <c r="G46">
        <v>34947080.960000001</v>
      </c>
      <c r="H46" t="s">
        <v>1017</v>
      </c>
    </row>
    <row r="47" spans="1:8" x14ac:dyDescent="0.25">
      <c r="A47" t="s">
        <v>1037</v>
      </c>
      <c r="B47" t="s">
        <v>847</v>
      </c>
      <c r="C47" t="s">
        <v>848</v>
      </c>
      <c r="D47" t="s">
        <v>26</v>
      </c>
      <c r="E47">
        <v>1099901.07</v>
      </c>
      <c r="F47">
        <v>53</v>
      </c>
      <c r="G47">
        <v>58294756.710000001</v>
      </c>
      <c r="H47" t="s">
        <v>1017</v>
      </c>
    </row>
    <row r="48" spans="1:8" x14ac:dyDescent="0.25">
      <c r="A48" t="s">
        <v>1038</v>
      </c>
      <c r="B48" t="s">
        <v>325</v>
      </c>
      <c r="C48" t="s">
        <v>326</v>
      </c>
      <c r="D48" t="s">
        <v>19</v>
      </c>
      <c r="E48">
        <v>422064.88</v>
      </c>
      <c r="F48">
        <v>52</v>
      </c>
      <c r="G48">
        <v>21947373.760000002</v>
      </c>
      <c r="H48" t="s">
        <v>1017</v>
      </c>
    </row>
    <row r="49" spans="1:8" x14ac:dyDescent="0.25">
      <c r="A49" t="s">
        <v>1038</v>
      </c>
      <c r="B49" t="s">
        <v>575</v>
      </c>
      <c r="C49" t="s">
        <v>576</v>
      </c>
      <c r="D49" t="s">
        <v>10</v>
      </c>
      <c r="E49">
        <v>555747.15</v>
      </c>
      <c r="F49">
        <v>36</v>
      </c>
      <c r="G49">
        <v>20006897.399999999</v>
      </c>
      <c r="H49" t="s">
        <v>1017</v>
      </c>
    </row>
    <row r="50" spans="1:8" x14ac:dyDescent="0.25">
      <c r="A50" t="s">
        <v>1039</v>
      </c>
      <c r="B50" t="s">
        <v>993</v>
      </c>
      <c r="C50" t="s">
        <v>994</v>
      </c>
      <c r="D50" t="s">
        <v>26</v>
      </c>
      <c r="E50">
        <v>1104602.94</v>
      </c>
      <c r="F50">
        <v>76</v>
      </c>
      <c r="G50">
        <v>83949823.439999998</v>
      </c>
      <c r="H50" t="s">
        <v>1017</v>
      </c>
    </row>
    <row r="51" spans="1:8" x14ac:dyDescent="0.25">
      <c r="A51" t="s">
        <v>1039</v>
      </c>
      <c r="B51" t="s">
        <v>47</v>
      </c>
      <c r="C51" t="s">
        <v>48</v>
      </c>
      <c r="D51" t="s">
        <v>14</v>
      </c>
      <c r="E51">
        <v>59414.7</v>
      </c>
      <c r="F51">
        <v>55</v>
      </c>
      <c r="G51">
        <v>3267808.5</v>
      </c>
      <c r="H51" t="s">
        <v>1017</v>
      </c>
    </row>
    <row r="52" spans="1:8" x14ac:dyDescent="0.25">
      <c r="A52" t="s">
        <v>1039</v>
      </c>
      <c r="B52" t="s">
        <v>207</v>
      </c>
      <c r="C52" t="s">
        <v>208</v>
      </c>
      <c r="D52" t="s">
        <v>14</v>
      </c>
      <c r="E52">
        <v>534080.53</v>
      </c>
      <c r="F52">
        <v>34</v>
      </c>
      <c r="G52">
        <v>18158738.02</v>
      </c>
      <c r="H52" t="s">
        <v>1017</v>
      </c>
    </row>
    <row r="53" spans="1:8" x14ac:dyDescent="0.25">
      <c r="A53" t="s">
        <v>1039</v>
      </c>
      <c r="B53" t="s">
        <v>383</v>
      </c>
      <c r="C53" t="s">
        <v>384</v>
      </c>
      <c r="D53" t="s">
        <v>10</v>
      </c>
      <c r="E53">
        <v>868535.05</v>
      </c>
      <c r="F53">
        <v>87</v>
      </c>
      <c r="G53">
        <v>75562549.349999994</v>
      </c>
      <c r="H53" t="s">
        <v>1017</v>
      </c>
    </row>
    <row r="54" spans="1:8" x14ac:dyDescent="0.25">
      <c r="A54" t="s">
        <v>1040</v>
      </c>
      <c r="B54" t="s">
        <v>953</v>
      </c>
      <c r="C54" t="s">
        <v>954</v>
      </c>
      <c r="D54" t="s">
        <v>19</v>
      </c>
      <c r="E54">
        <v>1800569.51</v>
      </c>
      <c r="F54">
        <v>67</v>
      </c>
      <c r="G54">
        <v>120638157.17</v>
      </c>
      <c r="H54" t="s">
        <v>1017</v>
      </c>
    </row>
    <row r="55" spans="1:8" x14ac:dyDescent="0.25">
      <c r="A55" t="s">
        <v>1040</v>
      </c>
      <c r="B55" t="s">
        <v>807</v>
      </c>
      <c r="C55" t="s">
        <v>808</v>
      </c>
      <c r="D55" t="s">
        <v>14</v>
      </c>
      <c r="E55">
        <v>490585.52</v>
      </c>
      <c r="F55">
        <v>38</v>
      </c>
      <c r="G55">
        <v>18642249.760000002</v>
      </c>
      <c r="H55" t="s">
        <v>1017</v>
      </c>
    </row>
    <row r="56" spans="1:8" x14ac:dyDescent="0.25">
      <c r="A56" t="s">
        <v>1040</v>
      </c>
      <c r="B56" t="s">
        <v>947</v>
      </c>
      <c r="C56" t="s">
        <v>948</v>
      </c>
      <c r="D56" t="s">
        <v>26</v>
      </c>
      <c r="E56">
        <v>1355674.6</v>
      </c>
      <c r="F56">
        <v>58</v>
      </c>
      <c r="G56">
        <v>78629126.799999997</v>
      </c>
      <c r="H56" t="s">
        <v>1017</v>
      </c>
    </row>
    <row r="57" spans="1:8" x14ac:dyDescent="0.25">
      <c r="A57" t="s">
        <v>1041</v>
      </c>
      <c r="B57" t="s">
        <v>769</v>
      </c>
      <c r="C57" t="s">
        <v>770</v>
      </c>
      <c r="D57" t="s">
        <v>10</v>
      </c>
      <c r="E57">
        <v>977422.83</v>
      </c>
      <c r="F57">
        <v>45</v>
      </c>
      <c r="G57">
        <v>43984027.350000001</v>
      </c>
      <c r="H57" t="s">
        <v>1017</v>
      </c>
    </row>
    <row r="58" spans="1:8" x14ac:dyDescent="0.25">
      <c r="A58" t="s">
        <v>1041</v>
      </c>
      <c r="B58" t="s">
        <v>505</v>
      </c>
      <c r="C58" t="s">
        <v>506</v>
      </c>
      <c r="D58" t="s">
        <v>14</v>
      </c>
      <c r="E58">
        <v>889320.12</v>
      </c>
      <c r="F58">
        <v>8</v>
      </c>
      <c r="G58">
        <v>7114560.96</v>
      </c>
      <c r="H58" t="s">
        <v>1017</v>
      </c>
    </row>
    <row r="59" spans="1:8" x14ac:dyDescent="0.25">
      <c r="A59" t="s">
        <v>1042</v>
      </c>
      <c r="B59" t="s">
        <v>347</v>
      </c>
      <c r="C59" t="s">
        <v>348</v>
      </c>
      <c r="D59" t="s">
        <v>26</v>
      </c>
      <c r="E59">
        <v>3500784.14</v>
      </c>
      <c r="F59">
        <v>95</v>
      </c>
      <c r="G59">
        <v>332574493.30000001</v>
      </c>
      <c r="H59" t="s">
        <v>1017</v>
      </c>
    </row>
    <row r="60" spans="1:8" x14ac:dyDescent="0.25">
      <c r="A60" t="s">
        <v>1043</v>
      </c>
      <c r="B60" t="s">
        <v>975</v>
      </c>
      <c r="C60" t="s">
        <v>976</v>
      </c>
      <c r="D60" t="s">
        <v>10</v>
      </c>
      <c r="E60">
        <v>687241.22</v>
      </c>
      <c r="F60">
        <v>111</v>
      </c>
      <c r="G60">
        <v>76283775.420000002</v>
      </c>
      <c r="H60" t="s">
        <v>1017</v>
      </c>
    </row>
    <row r="61" spans="1:8" x14ac:dyDescent="0.25">
      <c r="A61" t="s">
        <v>1044</v>
      </c>
      <c r="B61" t="s">
        <v>397</v>
      </c>
      <c r="C61" t="s">
        <v>398</v>
      </c>
      <c r="D61" t="s">
        <v>26</v>
      </c>
      <c r="E61">
        <v>902561.89</v>
      </c>
      <c r="F61">
        <v>86</v>
      </c>
      <c r="G61">
        <v>77620322.540000007</v>
      </c>
      <c r="H61" t="s">
        <v>1017</v>
      </c>
    </row>
    <row r="62" spans="1:8" x14ac:dyDescent="0.25">
      <c r="A62" t="s">
        <v>1044</v>
      </c>
      <c r="B62" t="s">
        <v>859</v>
      </c>
      <c r="C62" t="s">
        <v>860</v>
      </c>
      <c r="D62" t="s">
        <v>19</v>
      </c>
      <c r="E62">
        <v>1007514.04</v>
      </c>
      <c r="F62">
        <v>42</v>
      </c>
      <c r="G62">
        <v>42315589.68</v>
      </c>
      <c r="H62" t="s">
        <v>1017</v>
      </c>
    </row>
    <row r="63" spans="1:8" x14ac:dyDescent="0.25">
      <c r="A63" t="s">
        <v>1044</v>
      </c>
      <c r="B63" t="s">
        <v>131</v>
      </c>
      <c r="C63" t="s">
        <v>132</v>
      </c>
      <c r="D63" t="s">
        <v>26</v>
      </c>
      <c r="E63">
        <v>2285871.63</v>
      </c>
      <c r="F63">
        <v>48</v>
      </c>
      <c r="G63">
        <v>109721838.23999999</v>
      </c>
      <c r="H63" t="s">
        <v>1017</v>
      </c>
    </row>
    <row r="64" spans="1:8" x14ac:dyDescent="0.25">
      <c r="A64" t="s">
        <v>1045</v>
      </c>
      <c r="B64" t="s">
        <v>139</v>
      </c>
      <c r="C64" t="s">
        <v>140</v>
      </c>
      <c r="D64" t="s">
        <v>26</v>
      </c>
      <c r="E64">
        <v>2897208.69</v>
      </c>
      <c r="F64">
        <v>74</v>
      </c>
      <c r="G64">
        <v>214393443.06</v>
      </c>
      <c r="H64" t="s">
        <v>1017</v>
      </c>
    </row>
    <row r="65" spans="1:8" x14ac:dyDescent="0.25">
      <c r="A65" t="s">
        <v>1046</v>
      </c>
      <c r="B65" t="s">
        <v>913</v>
      </c>
      <c r="C65" t="s">
        <v>914</v>
      </c>
      <c r="D65" t="s">
        <v>10</v>
      </c>
      <c r="E65">
        <v>952231.24</v>
      </c>
      <c r="F65">
        <v>6</v>
      </c>
      <c r="G65">
        <v>5713387.4400000004</v>
      </c>
      <c r="H65" t="s">
        <v>1017</v>
      </c>
    </row>
    <row r="66" spans="1:8" x14ac:dyDescent="0.25">
      <c r="A66" t="s">
        <v>1046</v>
      </c>
      <c r="B66" t="s">
        <v>199</v>
      </c>
      <c r="C66" t="s">
        <v>200</v>
      </c>
      <c r="D66" t="s">
        <v>26</v>
      </c>
      <c r="E66">
        <v>395944.48</v>
      </c>
      <c r="F66">
        <v>38</v>
      </c>
      <c r="G66">
        <v>15045890.24</v>
      </c>
      <c r="H66" t="s">
        <v>1017</v>
      </c>
    </row>
    <row r="67" spans="1:8" x14ac:dyDescent="0.25">
      <c r="A67" t="s">
        <v>1046</v>
      </c>
      <c r="B67" t="s">
        <v>859</v>
      </c>
      <c r="C67" t="s">
        <v>860</v>
      </c>
      <c r="D67" t="s">
        <v>19</v>
      </c>
      <c r="E67">
        <v>967929.98</v>
      </c>
      <c r="F67">
        <v>58</v>
      </c>
      <c r="G67">
        <v>56139938.840000004</v>
      </c>
      <c r="H67" t="s">
        <v>1017</v>
      </c>
    </row>
    <row r="68" spans="1:8" x14ac:dyDescent="0.25">
      <c r="A68" t="s">
        <v>1046</v>
      </c>
      <c r="B68" t="s">
        <v>285</v>
      </c>
      <c r="C68" t="s">
        <v>286</v>
      </c>
      <c r="D68" t="s">
        <v>19</v>
      </c>
      <c r="E68">
        <v>1390254.49</v>
      </c>
      <c r="F68">
        <v>40</v>
      </c>
      <c r="G68">
        <v>55610179.600000001</v>
      </c>
      <c r="H68" t="s">
        <v>1017</v>
      </c>
    </row>
    <row r="69" spans="1:8" x14ac:dyDescent="0.25">
      <c r="A69" t="s">
        <v>1047</v>
      </c>
      <c r="B69" t="s">
        <v>437</v>
      </c>
      <c r="C69" t="s">
        <v>438</v>
      </c>
      <c r="D69" t="s">
        <v>14</v>
      </c>
      <c r="E69">
        <v>480578.57</v>
      </c>
      <c r="F69">
        <v>57</v>
      </c>
      <c r="G69">
        <v>27392978.489999998</v>
      </c>
      <c r="H69" t="s">
        <v>1017</v>
      </c>
    </row>
    <row r="70" spans="1:8" x14ac:dyDescent="0.25">
      <c r="A70" t="s">
        <v>1047</v>
      </c>
      <c r="B70" t="s">
        <v>111</v>
      </c>
      <c r="C70" t="s">
        <v>112</v>
      </c>
      <c r="D70" t="s">
        <v>19</v>
      </c>
      <c r="E70">
        <v>595129.72</v>
      </c>
      <c r="F70">
        <v>10</v>
      </c>
      <c r="G70">
        <v>5951297.2000000002</v>
      </c>
      <c r="H70" t="s">
        <v>1017</v>
      </c>
    </row>
    <row r="71" spans="1:8" x14ac:dyDescent="0.25">
      <c r="A71" t="s">
        <v>1047</v>
      </c>
      <c r="B71" t="s">
        <v>775</v>
      </c>
      <c r="C71" t="s">
        <v>776</v>
      </c>
      <c r="D71" t="s">
        <v>14</v>
      </c>
      <c r="E71">
        <v>240306.8</v>
      </c>
      <c r="F71">
        <v>28</v>
      </c>
      <c r="G71">
        <v>6728590.4000000004</v>
      </c>
      <c r="H71" t="s">
        <v>1017</v>
      </c>
    </row>
    <row r="72" spans="1:8" x14ac:dyDescent="0.25">
      <c r="A72" t="s">
        <v>1047</v>
      </c>
      <c r="B72" t="s">
        <v>293</v>
      </c>
      <c r="C72" t="s">
        <v>294</v>
      </c>
      <c r="D72" t="s">
        <v>19</v>
      </c>
      <c r="E72">
        <v>136517.51999999999</v>
      </c>
      <c r="F72">
        <v>28</v>
      </c>
      <c r="G72">
        <v>3822490.56</v>
      </c>
      <c r="H72" t="s">
        <v>1017</v>
      </c>
    </row>
    <row r="73" spans="1:8" x14ac:dyDescent="0.25">
      <c r="A73" t="s">
        <v>1047</v>
      </c>
      <c r="B73" t="s">
        <v>395</v>
      </c>
      <c r="C73" t="s">
        <v>396</v>
      </c>
      <c r="D73" t="s">
        <v>14</v>
      </c>
      <c r="E73">
        <v>193383.78</v>
      </c>
      <c r="F73">
        <v>113</v>
      </c>
      <c r="G73">
        <v>21852367.140000001</v>
      </c>
      <c r="H73" t="s">
        <v>1017</v>
      </c>
    </row>
    <row r="74" spans="1:8" x14ac:dyDescent="0.25">
      <c r="A74" t="s">
        <v>1048</v>
      </c>
      <c r="B74" t="s">
        <v>329</v>
      </c>
      <c r="C74" t="s">
        <v>330</v>
      </c>
      <c r="D74" t="s">
        <v>26</v>
      </c>
      <c r="E74">
        <v>3543156.32</v>
      </c>
      <c r="F74">
        <v>82</v>
      </c>
      <c r="G74">
        <v>290538818.24000001</v>
      </c>
      <c r="H74" t="s">
        <v>1017</v>
      </c>
    </row>
    <row r="75" spans="1:8" x14ac:dyDescent="0.25">
      <c r="A75" t="s">
        <v>1048</v>
      </c>
      <c r="B75" t="s">
        <v>69</v>
      </c>
      <c r="C75" t="s">
        <v>70</v>
      </c>
      <c r="D75" t="s">
        <v>26</v>
      </c>
      <c r="E75">
        <v>2810081.2</v>
      </c>
      <c r="F75">
        <v>57</v>
      </c>
      <c r="G75">
        <v>160174628.40000001</v>
      </c>
      <c r="H75" t="s">
        <v>1017</v>
      </c>
    </row>
    <row r="76" spans="1:8" x14ac:dyDescent="0.25">
      <c r="A76" t="s">
        <v>1049</v>
      </c>
      <c r="B76" t="s">
        <v>853</v>
      </c>
      <c r="C76" t="s">
        <v>854</v>
      </c>
      <c r="D76" t="s">
        <v>14</v>
      </c>
      <c r="E76">
        <v>334966.28999999998</v>
      </c>
      <c r="F76">
        <v>55</v>
      </c>
      <c r="G76">
        <v>18423145.949999999</v>
      </c>
      <c r="H76" t="s">
        <v>1017</v>
      </c>
    </row>
    <row r="77" spans="1:8" x14ac:dyDescent="0.25">
      <c r="A77" t="s">
        <v>1050</v>
      </c>
      <c r="B77" t="s">
        <v>37</v>
      </c>
      <c r="C77" t="s">
        <v>38</v>
      </c>
      <c r="D77" t="s">
        <v>14</v>
      </c>
      <c r="E77">
        <v>982703.65</v>
      </c>
      <c r="F77">
        <v>22</v>
      </c>
      <c r="G77">
        <v>21619480.300000001</v>
      </c>
      <c r="H77" t="s">
        <v>1017</v>
      </c>
    </row>
    <row r="78" spans="1:8" x14ac:dyDescent="0.25">
      <c r="A78" t="s">
        <v>1051</v>
      </c>
      <c r="B78" t="s">
        <v>213</v>
      </c>
      <c r="C78" t="s">
        <v>214</v>
      </c>
      <c r="D78" t="s">
        <v>14</v>
      </c>
      <c r="E78">
        <v>1079370.18</v>
      </c>
      <c r="F78">
        <v>106</v>
      </c>
      <c r="G78">
        <v>114413239.08</v>
      </c>
      <c r="H78" t="s">
        <v>1017</v>
      </c>
    </row>
    <row r="79" spans="1:8" x14ac:dyDescent="0.25">
      <c r="A79" t="s">
        <v>1051</v>
      </c>
      <c r="B79" t="s">
        <v>685</v>
      </c>
      <c r="C79" t="s">
        <v>686</v>
      </c>
      <c r="D79" t="s">
        <v>14</v>
      </c>
      <c r="E79">
        <v>1142036.69</v>
      </c>
      <c r="F79">
        <v>80</v>
      </c>
      <c r="G79">
        <v>91362935.200000003</v>
      </c>
      <c r="H79" t="s">
        <v>1017</v>
      </c>
    </row>
    <row r="80" spans="1:8" x14ac:dyDescent="0.25">
      <c r="A80" t="s">
        <v>1051</v>
      </c>
      <c r="B80" t="s">
        <v>709</v>
      </c>
      <c r="C80" t="s">
        <v>710</v>
      </c>
      <c r="D80" t="s">
        <v>10</v>
      </c>
      <c r="E80">
        <v>1440638.69</v>
      </c>
      <c r="F80">
        <v>62</v>
      </c>
      <c r="G80">
        <v>89319598.780000001</v>
      </c>
      <c r="H80" t="s">
        <v>1017</v>
      </c>
    </row>
    <row r="81" spans="1:8" x14ac:dyDescent="0.25">
      <c r="A81" t="s">
        <v>1051</v>
      </c>
      <c r="B81" t="s">
        <v>12</v>
      </c>
      <c r="C81" t="s">
        <v>13</v>
      </c>
      <c r="D81" t="s">
        <v>14</v>
      </c>
      <c r="E81">
        <v>922961.37</v>
      </c>
      <c r="F81">
        <v>2</v>
      </c>
      <c r="G81">
        <v>1845922.74</v>
      </c>
      <c r="H81" t="s">
        <v>1017</v>
      </c>
    </row>
    <row r="82" spans="1:8" x14ac:dyDescent="0.25">
      <c r="A82" t="s">
        <v>1051</v>
      </c>
      <c r="B82" t="s">
        <v>419</v>
      </c>
      <c r="C82" t="s">
        <v>420</v>
      </c>
      <c r="D82" t="s">
        <v>10</v>
      </c>
      <c r="E82">
        <v>638821.57999999996</v>
      </c>
      <c r="F82">
        <v>55</v>
      </c>
      <c r="G82">
        <v>35135186.899999999</v>
      </c>
      <c r="H82" t="s">
        <v>1017</v>
      </c>
    </row>
    <row r="83" spans="1:8" x14ac:dyDescent="0.25">
      <c r="A83" t="s">
        <v>1052</v>
      </c>
      <c r="B83" t="s">
        <v>345</v>
      </c>
      <c r="C83" t="s">
        <v>346</v>
      </c>
      <c r="D83" t="s">
        <v>14</v>
      </c>
      <c r="E83">
        <v>923111.13</v>
      </c>
      <c r="F83">
        <v>107</v>
      </c>
      <c r="G83">
        <v>98772890.909999996</v>
      </c>
      <c r="H83" t="s">
        <v>1017</v>
      </c>
    </row>
    <row r="84" spans="1:8" x14ac:dyDescent="0.25">
      <c r="A84" t="s">
        <v>1052</v>
      </c>
      <c r="B84" t="s">
        <v>693</v>
      </c>
      <c r="C84" t="s">
        <v>694</v>
      </c>
      <c r="D84" t="s">
        <v>14</v>
      </c>
      <c r="E84">
        <v>172523.46</v>
      </c>
      <c r="F84">
        <v>91</v>
      </c>
      <c r="G84">
        <v>15699634.859999999</v>
      </c>
      <c r="H84" t="s">
        <v>1017</v>
      </c>
    </row>
    <row r="85" spans="1:8" x14ac:dyDescent="0.25">
      <c r="A85" t="s">
        <v>1053</v>
      </c>
      <c r="B85" t="s">
        <v>361</v>
      </c>
      <c r="C85" t="s">
        <v>362</v>
      </c>
      <c r="D85" t="s">
        <v>14</v>
      </c>
      <c r="E85">
        <v>1012003.77</v>
      </c>
      <c r="F85">
        <v>14</v>
      </c>
      <c r="G85">
        <v>14168052.779999999</v>
      </c>
      <c r="H85" t="s">
        <v>1017</v>
      </c>
    </row>
    <row r="86" spans="1:8" x14ac:dyDescent="0.25">
      <c r="A86" t="s">
        <v>1053</v>
      </c>
      <c r="B86" t="s">
        <v>35</v>
      </c>
      <c r="C86" t="s">
        <v>36</v>
      </c>
      <c r="D86" t="s">
        <v>14</v>
      </c>
      <c r="E86">
        <v>461711.03</v>
      </c>
      <c r="F86">
        <v>45</v>
      </c>
      <c r="G86">
        <v>20776996.350000001</v>
      </c>
      <c r="H86" t="s">
        <v>1017</v>
      </c>
    </row>
    <row r="87" spans="1:8" x14ac:dyDescent="0.25">
      <c r="A87" t="s">
        <v>1054</v>
      </c>
      <c r="B87" t="s">
        <v>729</v>
      </c>
      <c r="C87" t="s">
        <v>730</v>
      </c>
      <c r="D87" t="s">
        <v>10</v>
      </c>
      <c r="E87">
        <v>325000.63</v>
      </c>
      <c r="F87">
        <v>41</v>
      </c>
      <c r="G87">
        <v>13325025.83</v>
      </c>
      <c r="H87" t="s">
        <v>1017</v>
      </c>
    </row>
    <row r="88" spans="1:8" x14ac:dyDescent="0.25">
      <c r="A88" t="s">
        <v>1054</v>
      </c>
      <c r="B88" t="s">
        <v>511</v>
      </c>
      <c r="C88" t="s">
        <v>512</v>
      </c>
      <c r="D88" t="s">
        <v>10</v>
      </c>
      <c r="E88">
        <v>512947.33</v>
      </c>
      <c r="F88">
        <v>33</v>
      </c>
      <c r="G88">
        <v>16927261.890000001</v>
      </c>
      <c r="H88" t="s">
        <v>1017</v>
      </c>
    </row>
    <row r="89" spans="1:8" x14ac:dyDescent="0.25">
      <c r="A89" t="s">
        <v>1055</v>
      </c>
      <c r="B89" t="s">
        <v>35</v>
      </c>
      <c r="C89" t="s">
        <v>36</v>
      </c>
      <c r="D89" t="s">
        <v>14</v>
      </c>
      <c r="E89">
        <v>457019.77</v>
      </c>
      <c r="F89">
        <v>83</v>
      </c>
      <c r="G89">
        <v>37932640.909999996</v>
      </c>
      <c r="H89" t="s">
        <v>1017</v>
      </c>
    </row>
    <row r="90" spans="1:8" x14ac:dyDescent="0.25">
      <c r="A90" t="s">
        <v>1056</v>
      </c>
      <c r="B90" t="s">
        <v>787</v>
      </c>
      <c r="C90" t="s">
        <v>788</v>
      </c>
      <c r="D90" t="s">
        <v>19</v>
      </c>
      <c r="E90">
        <v>2016898.76</v>
      </c>
      <c r="F90">
        <v>88</v>
      </c>
      <c r="G90">
        <v>177487090.88</v>
      </c>
      <c r="H90" t="s">
        <v>1017</v>
      </c>
    </row>
    <row r="91" spans="1:8" x14ac:dyDescent="0.25">
      <c r="A91" t="s">
        <v>1056</v>
      </c>
      <c r="B91" t="s">
        <v>103</v>
      </c>
      <c r="C91" t="s">
        <v>104</v>
      </c>
      <c r="D91" t="s">
        <v>14</v>
      </c>
      <c r="E91">
        <v>451845.34</v>
      </c>
      <c r="F91">
        <v>4</v>
      </c>
      <c r="G91">
        <v>1807381.36</v>
      </c>
      <c r="H91" t="s">
        <v>1017</v>
      </c>
    </row>
    <row r="92" spans="1:8" x14ac:dyDescent="0.25">
      <c r="A92" t="s">
        <v>1056</v>
      </c>
      <c r="B92" t="s">
        <v>803</v>
      </c>
      <c r="C92" t="s">
        <v>804</v>
      </c>
      <c r="D92" t="s">
        <v>14</v>
      </c>
      <c r="E92">
        <v>100963.52</v>
      </c>
      <c r="F92">
        <v>40</v>
      </c>
      <c r="G92">
        <v>4038540.8</v>
      </c>
      <c r="H92" t="s">
        <v>1017</v>
      </c>
    </row>
    <row r="93" spans="1:8" x14ac:dyDescent="0.25">
      <c r="A93" t="s">
        <v>1057</v>
      </c>
      <c r="B93" t="s">
        <v>923</v>
      </c>
      <c r="C93" t="s">
        <v>924</v>
      </c>
      <c r="D93" t="s">
        <v>19</v>
      </c>
      <c r="E93">
        <v>1883490.61</v>
      </c>
      <c r="F93">
        <v>27</v>
      </c>
      <c r="G93">
        <v>50854246.469999999</v>
      </c>
      <c r="H93" t="s">
        <v>1017</v>
      </c>
    </row>
    <row r="94" spans="1:8" x14ac:dyDescent="0.25">
      <c r="A94" t="s">
        <v>1057</v>
      </c>
      <c r="B94" t="s">
        <v>491</v>
      </c>
      <c r="C94" t="s">
        <v>492</v>
      </c>
      <c r="D94" t="s">
        <v>26</v>
      </c>
      <c r="E94">
        <v>1075067.82</v>
      </c>
      <c r="F94">
        <v>107</v>
      </c>
      <c r="G94">
        <v>115032256.73999999</v>
      </c>
      <c r="H94" t="s">
        <v>1017</v>
      </c>
    </row>
    <row r="95" spans="1:8" x14ac:dyDescent="0.25">
      <c r="A95" t="s">
        <v>1057</v>
      </c>
      <c r="B95" t="s">
        <v>683</v>
      </c>
      <c r="C95" t="s">
        <v>684</v>
      </c>
      <c r="D95" t="s">
        <v>10</v>
      </c>
      <c r="E95">
        <v>1301147.1200000001</v>
      </c>
      <c r="F95">
        <v>47</v>
      </c>
      <c r="G95">
        <v>61153914.640000001</v>
      </c>
      <c r="H95" t="s">
        <v>1017</v>
      </c>
    </row>
    <row r="96" spans="1:8" x14ac:dyDescent="0.25">
      <c r="A96" t="s">
        <v>1058</v>
      </c>
      <c r="B96" t="s">
        <v>731</v>
      </c>
      <c r="C96" t="s">
        <v>732</v>
      </c>
      <c r="D96" t="s">
        <v>26</v>
      </c>
      <c r="E96">
        <v>1588369.51</v>
      </c>
      <c r="F96">
        <v>34</v>
      </c>
      <c r="G96">
        <v>54004563.340000004</v>
      </c>
      <c r="H96" t="s">
        <v>1017</v>
      </c>
    </row>
    <row r="97" spans="1:8" x14ac:dyDescent="0.25">
      <c r="A97" t="s">
        <v>1059</v>
      </c>
      <c r="B97" t="s">
        <v>569</v>
      </c>
      <c r="C97" t="s">
        <v>570</v>
      </c>
      <c r="D97" t="s">
        <v>26</v>
      </c>
      <c r="E97">
        <v>3421344.47</v>
      </c>
      <c r="F97">
        <v>85</v>
      </c>
      <c r="G97">
        <v>290814279.94999999</v>
      </c>
      <c r="H97" t="s">
        <v>1017</v>
      </c>
    </row>
    <row r="98" spans="1:8" x14ac:dyDescent="0.25">
      <c r="A98" t="s">
        <v>1059</v>
      </c>
      <c r="B98" t="s">
        <v>519</v>
      </c>
      <c r="C98" t="s">
        <v>520</v>
      </c>
      <c r="D98" t="s">
        <v>10</v>
      </c>
      <c r="E98">
        <v>269706.08</v>
      </c>
      <c r="F98">
        <v>78</v>
      </c>
      <c r="G98">
        <v>21037074.239999998</v>
      </c>
      <c r="H98" t="s">
        <v>1017</v>
      </c>
    </row>
    <row r="99" spans="1:8" x14ac:dyDescent="0.25">
      <c r="A99" t="s">
        <v>1059</v>
      </c>
      <c r="B99" t="s">
        <v>253</v>
      </c>
      <c r="C99" t="s">
        <v>254</v>
      </c>
      <c r="D99" t="s">
        <v>19</v>
      </c>
      <c r="E99">
        <v>1056443.23</v>
      </c>
      <c r="F99">
        <v>79</v>
      </c>
      <c r="G99">
        <v>83459015.170000002</v>
      </c>
      <c r="H99" t="s">
        <v>1017</v>
      </c>
    </row>
    <row r="100" spans="1:8" x14ac:dyDescent="0.25">
      <c r="A100" t="s">
        <v>1060</v>
      </c>
      <c r="B100" t="s">
        <v>973</v>
      </c>
      <c r="C100" t="s">
        <v>974</v>
      </c>
      <c r="D100" t="s">
        <v>14</v>
      </c>
      <c r="E100">
        <v>83988.3</v>
      </c>
      <c r="F100">
        <v>87</v>
      </c>
      <c r="G100">
        <v>7306982.0999999996</v>
      </c>
      <c r="H100" t="s">
        <v>1017</v>
      </c>
    </row>
    <row r="101" spans="1:8" x14ac:dyDescent="0.25">
      <c r="A101" t="s">
        <v>1060</v>
      </c>
      <c r="B101" t="s">
        <v>641</v>
      </c>
      <c r="C101" t="s">
        <v>642</v>
      </c>
      <c r="D101" t="s">
        <v>19</v>
      </c>
      <c r="E101">
        <v>1761073.13</v>
      </c>
      <c r="F101">
        <v>27</v>
      </c>
      <c r="G101">
        <v>47548974.509999998</v>
      </c>
      <c r="H101" t="s">
        <v>1017</v>
      </c>
    </row>
    <row r="102" spans="1:8" x14ac:dyDescent="0.25">
      <c r="A102" t="s">
        <v>1061</v>
      </c>
      <c r="B102" t="s">
        <v>551</v>
      </c>
      <c r="C102" t="s">
        <v>552</v>
      </c>
      <c r="D102" t="s">
        <v>10</v>
      </c>
      <c r="E102">
        <v>988895.68</v>
      </c>
      <c r="F102">
        <v>81</v>
      </c>
      <c r="G102">
        <v>80100550.079999998</v>
      </c>
      <c r="H102" t="s">
        <v>1017</v>
      </c>
    </row>
    <row r="103" spans="1:8" x14ac:dyDescent="0.25">
      <c r="A103" t="s">
        <v>1061</v>
      </c>
      <c r="B103" t="s">
        <v>535</v>
      </c>
      <c r="C103" t="s">
        <v>536</v>
      </c>
      <c r="D103" t="s">
        <v>26</v>
      </c>
      <c r="E103">
        <v>1363923.43</v>
      </c>
      <c r="F103">
        <v>52</v>
      </c>
      <c r="G103">
        <v>70924018.359999999</v>
      </c>
      <c r="H103" t="s">
        <v>1017</v>
      </c>
    </row>
    <row r="104" spans="1:8" x14ac:dyDescent="0.25">
      <c r="A104" t="s">
        <v>1061</v>
      </c>
      <c r="B104" t="s">
        <v>353</v>
      </c>
      <c r="C104" t="s">
        <v>354</v>
      </c>
      <c r="D104" t="s">
        <v>14</v>
      </c>
      <c r="E104">
        <v>794213.78</v>
      </c>
      <c r="F104">
        <v>74</v>
      </c>
      <c r="G104">
        <v>58771819.719999999</v>
      </c>
      <c r="H104" t="s">
        <v>1017</v>
      </c>
    </row>
    <row r="105" spans="1:8" x14ac:dyDescent="0.25">
      <c r="A105" t="s">
        <v>1062</v>
      </c>
      <c r="B105" t="s">
        <v>965</v>
      </c>
      <c r="C105" t="s">
        <v>966</v>
      </c>
      <c r="D105" t="s">
        <v>10</v>
      </c>
      <c r="E105">
        <v>715351.92</v>
      </c>
      <c r="F105">
        <v>100</v>
      </c>
      <c r="G105">
        <v>71535192</v>
      </c>
      <c r="H105" t="s">
        <v>1017</v>
      </c>
    </row>
    <row r="106" spans="1:8" x14ac:dyDescent="0.25">
      <c r="A106" t="s">
        <v>1062</v>
      </c>
      <c r="B106" t="s">
        <v>917</v>
      </c>
      <c r="C106" t="s">
        <v>918</v>
      </c>
      <c r="D106" t="s">
        <v>14</v>
      </c>
      <c r="E106">
        <v>930546.97</v>
      </c>
      <c r="F106">
        <v>27</v>
      </c>
      <c r="G106">
        <v>25124768.190000001</v>
      </c>
      <c r="H106" t="s">
        <v>1017</v>
      </c>
    </row>
    <row r="107" spans="1:8" x14ac:dyDescent="0.25">
      <c r="A107" t="s">
        <v>1062</v>
      </c>
      <c r="B107" t="s">
        <v>319</v>
      </c>
      <c r="C107" t="s">
        <v>320</v>
      </c>
      <c r="D107" t="s">
        <v>14</v>
      </c>
      <c r="E107">
        <v>1008522.44</v>
      </c>
      <c r="F107">
        <v>77</v>
      </c>
      <c r="G107">
        <v>77656227.879999995</v>
      </c>
      <c r="H107" t="s">
        <v>1017</v>
      </c>
    </row>
    <row r="108" spans="1:8" x14ac:dyDescent="0.25">
      <c r="A108" t="s">
        <v>1063</v>
      </c>
      <c r="B108" t="s">
        <v>729</v>
      </c>
      <c r="C108" t="s">
        <v>730</v>
      </c>
      <c r="D108" t="s">
        <v>10</v>
      </c>
      <c r="E108">
        <v>333108.98</v>
      </c>
      <c r="F108">
        <v>73</v>
      </c>
      <c r="G108">
        <v>24316955.539999999</v>
      </c>
      <c r="H108" t="s">
        <v>1017</v>
      </c>
    </row>
    <row r="109" spans="1:8" x14ac:dyDescent="0.25">
      <c r="A109" t="s">
        <v>1063</v>
      </c>
      <c r="B109" t="s">
        <v>511</v>
      </c>
      <c r="C109" t="s">
        <v>512</v>
      </c>
      <c r="D109" t="s">
        <v>10</v>
      </c>
      <c r="E109">
        <v>483082.45</v>
      </c>
      <c r="F109">
        <v>42</v>
      </c>
      <c r="G109">
        <v>20289462.899999999</v>
      </c>
      <c r="H109" t="s">
        <v>1017</v>
      </c>
    </row>
    <row r="110" spans="1:8" x14ac:dyDescent="0.25">
      <c r="A110" t="s">
        <v>1064</v>
      </c>
      <c r="B110" t="s">
        <v>165</v>
      </c>
      <c r="C110" t="s">
        <v>166</v>
      </c>
      <c r="D110" t="s">
        <v>26</v>
      </c>
      <c r="E110">
        <v>2616354.56</v>
      </c>
      <c r="F110">
        <v>74</v>
      </c>
      <c r="G110">
        <v>193610237.44</v>
      </c>
      <c r="H110" t="s">
        <v>1017</v>
      </c>
    </row>
    <row r="111" spans="1:8" x14ac:dyDescent="0.25">
      <c r="A111" t="s">
        <v>1064</v>
      </c>
      <c r="B111" t="s">
        <v>43</v>
      </c>
      <c r="C111" t="s">
        <v>44</v>
      </c>
      <c r="D111" t="s">
        <v>10</v>
      </c>
      <c r="E111">
        <v>1412050.15</v>
      </c>
      <c r="F111">
        <v>62</v>
      </c>
      <c r="G111">
        <v>87547109.299999997</v>
      </c>
      <c r="H111" t="s">
        <v>1017</v>
      </c>
    </row>
    <row r="112" spans="1:8" x14ac:dyDescent="0.25">
      <c r="A112" t="s">
        <v>1065</v>
      </c>
      <c r="B112" t="s">
        <v>437</v>
      </c>
      <c r="C112" t="s">
        <v>438</v>
      </c>
      <c r="D112" t="s">
        <v>14</v>
      </c>
      <c r="E112">
        <v>483556.48</v>
      </c>
      <c r="F112">
        <v>90</v>
      </c>
      <c r="G112">
        <v>43520083.200000003</v>
      </c>
      <c r="H112" t="s">
        <v>1017</v>
      </c>
    </row>
    <row r="113" spans="1:8" x14ac:dyDescent="0.25">
      <c r="A113" t="s">
        <v>1065</v>
      </c>
      <c r="B113" t="s">
        <v>397</v>
      </c>
      <c r="C113" t="s">
        <v>398</v>
      </c>
      <c r="D113" t="s">
        <v>26</v>
      </c>
      <c r="E113">
        <v>983979.53</v>
      </c>
      <c r="F113">
        <v>22</v>
      </c>
      <c r="G113">
        <v>21647549.66</v>
      </c>
      <c r="H113" t="s">
        <v>1017</v>
      </c>
    </row>
    <row r="114" spans="1:8" x14ac:dyDescent="0.25">
      <c r="A114" t="s">
        <v>1066</v>
      </c>
      <c r="B114" t="s">
        <v>663</v>
      </c>
      <c r="C114" t="s">
        <v>664</v>
      </c>
      <c r="D114" t="s">
        <v>10</v>
      </c>
      <c r="E114">
        <v>1352991.19</v>
      </c>
      <c r="F114">
        <v>102</v>
      </c>
      <c r="G114">
        <v>138005101.38</v>
      </c>
      <c r="H114" t="s">
        <v>1017</v>
      </c>
    </row>
    <row r="115" spans="1:8" x14ac:dyDescent="0.25">
      <c r="A115" t="s">
        <v>1066</v>
      </c>
      <c r="B115" t="s">
        <v>341</v>
      </c>
      <c r="C115" t="s">
        <v>342</v>
      </c>
      <c r="D115" t="s">
        <v>10</v>
      </c>
      <c r="E115">
        <v>621962.49</v>
      </c>
      <c r="F115">
        <v>94</v>
      </c>
      <c r="G115">
        <v>58464474.060000002</v>
      </c>
      <c r="H115" t="s">
        <v>1017</v>
      </c>
    </row>
    <row r="116" spans="1:8" x14ac:dyDescent="0.25">
      <c r="A116" t="s">
        <v>1066</v>
      </c>
      <c r="B116" t="s">
        <v>581</v>
      </c>
      <c r="C116" t="s">
        <v>582</v>
      </c>
      <c r="D116" t="s">
        <v>26</v>
      </c>
      <c r="E116">
        <v>3332819.43</v>
      </c>
      <c r="F116">
        <v>4</v>
      </c>
      <c r="G116">
        <v>13331277.720000001</v>
      </c>
      <c r="H116" t="s">
        <v>1017</v>
      </c>
    </row>
    <row r="117" spans="1:8" x14ac:dyDescent="0.25">
      <c r="A117" t="s">
        <v>1067</v>
      </c>
      <c r="B117" t="s">
        <v>843</v>
      </c>
      <c r="C117" t="s">
        <v>844</v>
      </c>
      <c r="D117" t="s">
        <v>26</v>
      </c>
      <c r="E117">
        <v>1960280.82</v>
      </c>
      <c r="F117">
        <v>109</v>
      </c>
      <c r="G117">
        <v>213670609.38</v>
      </c>
      <c r="H117" t="s">
        <v>1017</v>
      </c>
    </row>
    <row r="118" spans="1:8" x14ac:dyDescent="0.25">
      <c r="A118" t="s">
        <v>1068</v>
      </c>
      <c r="B118" t="s">
        <v>109</v>
      </c>
      <c r="C118" t="s">
        <v>110</v>
      </c>
      <c r="D118" t="s">
        <v>10</v>
      </c>
      <c r="E118">
        <v>1183410.72</v>
      </c>
      <c r="F118">
        <v>79</v>
      </c>
      <c r="G118">
        <v>93489446.879999995</v>
      </c>
      <c r="H118" t="s">
        <v>1017</v>
      </c>
    </row>
    <row r="119" spans="1:8" x14ac:dyDescent="0.25">
      <c r="A119" t="s">
        <v>1068</v>
      </c>
      <c r="B119" t="s">
        <v>83</v>
      </c>
      <c r="C119" t="s">
        <v>84</v>
      </c>
      <c r="D119" t="s">
        <v>19</v>
      </c>
      <c r="E119">
        <v>1816137.95</v>
      </c>
      <c r="F119">
        <v>88</v>
      </c>
      <c r="G119">
        <v>159820139.59999999</v>
      </c>
      <c r="H119" t="s">
        <v>1017</v>
      </c>
    </row>
    <row r="120" spans="1:8" x14ac:dyDescent="0.25">
      <c r="A120" t="s">
        <v>1068</v>
      </c>
      <c r="B120" t="s">
        <v>337</v>
      </c>
      <c r="C120" t="s">
        <v>338</v>
      </c>
      <c r="D120" t="s">
        <v>14</v>
      </c>
      <c r="E120">
        <v>664912.5</v>
      </c>
      <c r="F120">
        <v>64</v>
      </c>
      <c r="G120">
        <v>42554400</v>
      </c>
      <c r="H120" t="s">
        <v>1017</v>
      </c>
    </row>
    <row r="121" spans="1:8" x14ac:dyDescent="0.25">
      <c r="A121" t="s">
        <v>1069</v>
      </c>
      <c r="B121" t="s">
        <v>637</v>
      </c>
      <c r="C121" t="s">
        <v>638</v>
      </c>
      <c r="D121" t="s">
        <v>26</v>
      </c>
      <c r="E121">
        <v>2757219.45</v>
      </c>
      <c r="F121">
        <v>89</v>
      </c>
      <c r="G121">
        <v>245392531.05000001</v>
      </c>
      <c r="H121" t="s">
        <v>1017</v>
      </c>
    </row>
    <row r="122" spans="1:8" x14ac:dyDescent="0.25">
      <c r="A122" t="s">
        <v>1069</v>
      </c>
      <c r="B122" t="s">
        <v>865</v>
      </c>
      <c r="C122" t="s">
        <v>866</v>
      </c>
      <c r="D122" t="s">
        <v>14</v>
      </c>
      <c r="E122">
        <v>1207017.8600000001</v>
      </c>
      <c r="F122">
        <v>62</v>
      </c>
      <c r="G122">
        <v>74835107.319999993</v>
      </c>
      <c r="H122" t="s">
        <v>1017</v>
      </c>
    </row>
    <row r="123" spans="1:8" x14ac:dyDescent="0.25">
      <c r="A123" t="s">
        <v>1070</v>
      </c>
      <c r="B123" t="s">
        <v>905</v>
      </c>
      <c r="C123" t="s">
        <v>906</v>
      </c>
      <c r="D123" t="s">
        <v>19</v>
      </c>
      <c r="E123">
        <v>216694.25</v>
      </c>
      <c r="F123">
        <v>111</v>
      </c>
      <c r="G123">
        <v>24053061.75</v>
      </c>
      <c r="H123" t="s">
        <v>1017</v>
      </c>
    </row>
    <row r="124" spans="1:8" x14ac:dyDescent="0.25">
      <c r="A124" t="s">
        <v>1071</v>
      </c>
      <c r="B124" t="s">
        <v>779</v>
      </c>
      <c r="C124" t="s">
        <v>780</v>
      </c>
      <c r="D124" t="s">
        <v>26</v>
      </c>
      <c r="E124">
        <v>972138.48</v>
      </c>
      <c r="F124">
        <v>74</v>
      </c>
      <c r="G124">
        <v>71938247.519999996</v>
      </c>
      <c r="H124" t="s">
        <v>1017</v>
      </c>
    </row>
    <row r="125" spans="1:8" x14ac:dyDescent="0.25">
      <c r="A125" t="s">
        <v>1072</v>
      </c>
      <c r="B125" t="s">
        <v>561</v>
      </c>
      <c r="C125" t="s">
        <v>562</v>
      </c>
      <c r="D125" t="s">
        <v>19</v>
      </c>
      <c r="E125">
        <v>1419962.86</v>
      </c>
      <c r="F125">
        <v>84</v>
      </c>
      <c r="G125">
        <v>119276880.23999999</v>
      </c>
      <c r="H125" t="s">
        <v>1017</v>
      </c>
    </row>
    <row r="126" spans="1:8" x14ac:dyDescent="0.25">
      <c r="A126" t="s">
        <v>1072</v>
      </c>
      <c r="B126" t="s">
        <v>187</v>
      </c>
      <c r="C126" t="s">
        <v>188</v>
      </c>
      <c r="D126" t="s">
        <v>19</v>
      </c>
      <c r="E126">
        <v>585741.44999999995</v>
      </c>
      <c r="F126">
        <v>94</v>
      </c>
      <c r="G126">
        <v>55059696.299999997</v>
      </c>
      <c r="H126" t="s">
        <v>1017</v>
      </c>
    </row>
    <row r="127" spans="1:8" x14ac:dyDescent="0.25">
      <c r="A127" t="s">
        <v>1072</v>
      </c>
      <c r="B127" t="s">
        <v>389</v>
      </c>
      <c r="C127" t="s">
        <v>390</v>
      </c>
      <c r="D127" t="s">
        <v>10</v>
      </c>
      <c r="E127">
        <v>131453.47</v>
      </c>
      <c r="F127">
        <v>38</v>
      </c>
      <c r="G127">
        <v>4995231.8600000003</v>
      </c>
      <c r="H127" t="s">
        <v>1017</v>
      </c>
    </row>
    <row r="128" spans="1:8" x14ac:dyDescent="0.25">
      <c r="A128" t="s">
        <v>1072</v>
      </c>
      <c r="B128" t="s">
        <v>523</v>
      </c>
      <c r="C128" t="s">
        <v>524</v>
      </c>
      <c r="D128" t="s">
        <v>14</v>
      </c>
      <c r="E128">
        <v>835353.31</v>
      </c>
      <c r="F128">
        <v>120</v>
      </c>
      <c r="G128">
        <v>100242397.2</v>
      </c>
      <c r="H128" t="s">
        <v>1017</v>
      </c>
    </row>
    <row r="129" spans="1:8" x14ac:dyDescent="0.25">
      <c r="A129" t="s">
        <v>1072</v>
      </c>
      <c r="B129" t="s">
        <v>633</v>
      </c>
      <c r="C129" t="s">
        <v>634</v>
      </c>
      <c r="D129" t="s">
        <v>14</v>
      </c>
      <c r="E129">
        <v>685114.85</v>
      </c>
      <c r="F129">
        <v>53</v>
      </c>
      <c r="G129">
        <v>36311087.049999997</v>
      </c>
      <c r="H129" t="s">
        <v>1017</v>
      </c>
    </row>
    <row r="130" spans="1:8" x14ac:dyDescent="0.25">
      <c r="A130" t="s">
        <v>1073</v>
      </c>
      <c r="B130" t="s">
        <v>251</v>
      </c>
      <c r="C130" t="s">
        <v>252</v>
      </c>
      <c r="D130" t="s">
        <v>14</v>
      </c>
      <c r="E130">
        <v>389477.59</v>
      </c>
      <c r="F130">
        <v>78</v>
      </c>
      <c r="G130">
        <v>30379252.02</v>
      </c>
      <c r="H130" t="s">
        <v>1017</v>
      </c>
    </row>
    <row r="131" spans="1:8" x14ac:dyDescent="0.25">
      <c r="A131" t="s">
        <v>1073</v>
      </c>
      <c r="B131" t="s">
        <v>235</v>
      </c>
      <c r="C131" t="s">
        <v>236</v>
      </c>
      <c r="D131" t="s">
        <v>10</v>
      </c>
      <c r="E131">
        <v>1438756.54</v>
      </c>
      <c r="F131">
        <v>7</v>
      </c>
      <c r="G131">
        <v>10071295.779999999</v>
      </c>
      <c r="H131" t="s">
        <v>1017</v>
      </c>
    </row>
    <row r="132" spans="1:8" x14ac:dyDescent="0.25">
      <c r="A132" t="s">
        <v>1073</v>
      </c>
      <c r="B132" t="s">
        <v>865</v>
      </c>
      <c r="C132" t="s">
        <v>866</v>
      </c>
      <c r="D132" t="s">
        <v>14</v>
      </c>
      <c r="E132">
        <v>1210111.6599999999</v>
      </c>
      <c r="F132">
        <v>100</v>
      </c>
      <c r="G132">
        <v>121011166</v>
      </c>
      <c r="H132" t="s">
        <v>1017</v>
      </c>
    </row>
    <row r="133" spans="1:8" x14ac:dyDescent="0.25">
      <c r="A133" t="s">
        <v>1074</v>
      </c>
      <c r="B133" t="s">
        <v>361</v>
      </c>
      <c r="C133" t="s">
        <v>362</v>
      </c>
      <c r="D133" t="s">
        <v>14</v>
      </c>
      <c r="E133">
        <v>1043381.35</v>
      </c>
      <c r="F133">
        <v>94</v>
      </c>
      <c r="G133">
        <v>98077846.900000006</v>
      </c>
      <c r="H133" t="s">
        <v>1017</v>
      </c>
    </row>
    <row r="134" spans="1:8" x14ac:dyDescent="0.25">
      <c r="A134" t="s">
        <v>1075</v>
      </c>
      <c r="B134" t="s">
        <v>549</v>
      </c>
      <c r="C134" t="s">
        <v>550</v>
      </c>
      <c r="D134" t="s">
        <v>10</v>
      </c>
      <c r="E134">
        <v>753129.42</v>
      </c>
      <c r="F134">
        <v>51</v>
      </c>
      <c r="G134">
        <v>38409600.420000002</v>
      </c>
      <c r="H134" t="s">
        <v>1017</v>
      </c>
    </row>
    <row r="135" spans="1:8" x14ac:dyDescent="0.25">
      <c r="A135" t="s">
        <v>1076</v>
      </c>
      <c r="B135" t="s">
        <v>651</v>
      </c>
      <c r="C135" t="s">
        <v>652</v>
      </c>
      <c r="D135" t="s">
        <v>14</v>
      </c>
      <c r="E135">
        <v>530875.74</v>
      </c>
      <c r="F135">
        <v>118</v>
      </c>
      <c r="G135">
        <v>62643337.32</v>
      </c>
      <c r="H135" t="s">
        <v>1017</v>
      </c>
    </row>
    <row r="136" spans="1:8" x14ac:dyDescent="0.25">
      <c r="A136" t="s">
        <v>1076</v>
      </c>
      <c r="B136" t="s">
        <v>67</v>
      </c>
      <c r="C136" t="s">
        <v>68</v>
      </c>
      <c r="D136" t="s">
        <v>19</v>
      </c>
      <c r="E136">
        <v>446896.74</v>
      </c>
      <c r="F136">
        <v>58</v>
      </c>
      <c r="G136">
        <v>25920010.920000002</v>
      </c>
      <c r="H136" t="s">
        <v>1017</v>
      </c>
    </row>
    <row r="137" spans="1:8" x14ac:dyDescent="0.25">
      <c r="A137" t="s">
        <v>1076</v>
      </c>
      <c r="B137" t="s">
        <v>83</v>
      </c>
      <c r="C137" t="s">
        <v>84</v>
      </c>
      <c r="D137" t="s">
        <v>19</v>
      </c>
      <c r="E137">
        <v>2027567.6</v>
      </c>
      <c r="F137">
        <v>112</v>
      </c>
      <c r="G137">
        <v>227087571.19999999</v>
      </c>
      <c r="H137" t="s">
        <v>1017</v>
      </c>
    </row>
    <row r="138" spans="1:8" x14ac:dyDescent="0.25">
      <c r="A138" t="s">
        <v>1076</v>
      </c>
      <c r="B138" t="s">
        <v>471</v>
      </c>
      <c r="C138" t="s">
        <v>472</v>
      </c>
      <c r="D138" t="s">
        <v>19</v>
      </c>
      <c r="E138">
        <v>595048.21</v>
      </c>
      <c r="F138">
        <v>62</v>
      </c>
      <c r="G138">
        <v>36892989.020000003</v>
      </c>
      <c r="H138" t="s">
        <v>1017</v>
      </c>
    </row>
    <row r="139" spans="1:8" x14ac:dyDescent="0.25">
      <c r="A139" t="s">
        <v>1076</v>
      </c>
      <c r="B139" t="s">
        <v>671</v>
      </c>
      <c r="C139" t="s">
        <v>672</v>
      </c>
      <c r="D139" t="s">
        <v>19</v>
      </c>
      <c r="E139">
        <v>320244.40999999997</v>
      </c>
      <c r="F139">
        <v>10</v>
      </c>
      <c r="G139">
        <v>3202444.1</v>
      </c>
      <c r="H139" t="s">
        <v>1017</v>
      </c>
    </row>
    <row r="140" spans="1:8" x14ac:dyDescent="0.25">
      <c r="A140" t="s">
        <v>1077</v>
      </c>
      <c r="B140" t="s">
        <v>105</v>
      </c>
      <c r="C140" t="s">
        <v>106</v>
      </c>
      <c r="D140" t="s">
        <v>19</v>
      </c>
      <c r="E140">
        <v>1341725.71</v>
      </c>
      <c r="F140">
        <v>15</v>
      </c>
      <c r="G140">
        <v>20125885.649999999</v>
      </c>
      <c r="H140" t="s">
        <v>1017</v>
      </c>
    </row>
    <row r="141" spans="1:8" x14ac:dyDescent="0.25">
      <c r="A141" t="s">
        <v>1077</v>
      </c>
      <c r="B141" t="s">
        <v>459</v>
      </c>
      <c r="C141" t="s">
        <v>460</v>
      </c>
      <c r="D141" t="s">
        <v>26</v>
      </c>
      <c r="E141">
        <v>2445303.77</v>
      </c>
      <c r="F141">
        <v>19</v>
      </c>
      <c r="G141">
        <v>46460771.630000003</v>
      </c>
      <c r="H141" t="s">
        <v>1017</v>
      </c>
    </row>
    <row r="142" spans="1:8" x14ac:dyDescent="0.25">
      <c r="A142" t="s">
        <v>1077</v>
      </c>
      <c r="B142" t="s">
        <v>389</v>
      </c>
      <c r="C142" t="s">
        <v>390</v>
      </c>
      <c r="D142" t="s">
        <v>10</v>
      </c>
      <c r="E142">
        <v>131373.24</v>
      </c>
      <c r="F142">
        <v>68</v>
      </c>
      <c r="G142">
        <v>8933380.3200000003</v>
      </c>
      <c r="H142" t="s">
        <v>1017</v>
      </c>
    </row>
    <row r="143" spans="1:8" x14ac:dyDescent="0.25">
      <c r="A143" t="s">
        <v>1078</v>
      </c>
      <c r="B143" t="s">
        <v>841</v>
      </c>
      <c r="C143" t="s">
        <v>842</v>
      </c>
      <c r="D143" t="s">
        <v>26</v>
      </c>
      <c r="E143">
        <v>2790225.14</v>
      </c>
      <c r="F143">
        <v>43</v>
      </c>
      <c r="G143">
        <v>119979681.02</v>
      </c>
      <c r="H143" t="s">
        <v>1017</v>
      </c>
    </row>
    <row r="144" spans="1:8" x14ac:dyDescent="0.25">
      <c r="A144" t="s">
        <v>1078</v>
      </c>
      <c r="B144" t="s">
        <v>825</v>
      </c>
      <c r="C144" t="s">
        <v>826</v>
      </c>
      <c r="D144" t="s">
        <v>19</v>
      </c>
      <c r="E144">
        <v>1723383.98</v>
      </c>
      <c r="F144">
        <v>72</v>
      </c>
      <c r="G144">
        <v>124083646.56</v>
      </c>
      <c r="H144" t="s">
        <v>1017</v>
      </c>
    </row>
    <row r="145" spans="1:8" x14ac:dyDescent="0.25">
      <c r="A145" t="s">
        <v>1078</v>
      </c>
      <c r="B145" t="s">
        <v>961</v>
      </c>
      <c r="C145" t="s">
        <v>962</v>
      </c>
      <c r="D145" t="s">
        <v>19</v>
      </c>
      <c r="E145">
        <v>1283612.6399999999</v>
      </c>
      <c r="F145">
        <v>11</v>
      </c>
      <c r="G145">
        <v>14119739.039999999</v>
      </c>
      <c r="H145" t="s">
        <v>1017</v>
      </c>
    </row>
    <row r="146" spans="1:8" x14ac:dyDescent="0.25">
      <c r="A146" t="s">
        <v>1078</v>
      </c>
      <c r="B146" t="s">
        <v>951</v>
      </c>
      <c r="C146" t="s">
        <v>952</v>
      </c>
      <c r="D146" t="s">
        <v>26</v>
      </c>
      <c r="E146">
        <v>1968514.53</v>
      </c>
      <c r="F146">
        <v>77</v>
      </c>
      <c r="G146">
        <v>151575618.81</v>
      </c>
      <c r="H146" t="s">
        <v>1017</v>
      </c>
    </row>
    <row r="147" spans="1:8" x14ac:dyDescent="0.25">
      <c r="A147" t="s">
        <v>1078</v>
      </c>
      <c r="B147" t="s">
        <v>89</v>
      </c>
      <c r="C147" t="s">
        <v>90</v>
      </c>
      <c r="D147" t="s">
        <v>26</v>
      </c>
      <c r="E147">
        <v>1156473.3400000001</v>
      </c>
      <c r="F147">
        <v>16</v>
      </c>
      <c r="G147">
        <v>18503573.440000001</v>
      </c>
      <c r="H147" t="s">
        <v>1017</v>
      </c>
    </row>
    <row r="148" spans="1:8" x14ac:dyDescent="0.25">
      <c r="A148" t="s">
        <v>1079</v>
      </c>
      <c r="B148" t="s">
        <v>411</v>
      </c>
      <c r="C148" t="s">
        <v>412</v>
      </c>
      <c r="D148" t="s">
        <v>14</v>
      </c>
      <c r="E148">
        <v>685124.24</v>
      </c>
      <c r="F148">
        <v>89</v>
      </c>
      <c r="G148">
        <v>60976057.359999999</v>
      </c>
      <c r="H148" t="s">
        <v>1017</v>
      </c>
    </row>
    <row r="149" spans="1:8" x14ac:dyDescent="0.25">
      <c r="A149" t="s">
        <v>1080</v>
      </c>
      <c r="B149" t="s">
        <v>897</v>
      </c>
      <c r="C149" t="s">
        <v>898</v>
      </c>
      <c r="D149" t="s">
        <v>19</v>
      </c>
      <c r="E149">
        <v>1112912.1499999999</v>
      </c>
      <c r="F149">
        <v>102</v>
      </c>
      <c r="G149">
        <v>113517039.3</v>
      </c>
      <c r="H149" t="s">
        <v>1017</v>
      </c>
    </row>
    <row r="150" spans="1:8" x14ac:dyDescent="0.25">
      <c r="A150" t="s">
        <v>1080</v>
      </c>
      <c r="B150" t="s">
        <v>451</v>
      </c>
      <c r="C150" t="s">
        <v>452</v>
      </c>
      <c r="D150" t="s">
        <v>19</v>
      </c>
      <c r="E150">
        <v>77982.210000000006</v>
      </c>
      <c r="F150">
        <v>48</v>
      </c>
      <c r="G150">
        <v>3743146.08</v>
      </c>
      <c r="H150" t="s">
        <v>1017</v>
      </c>
    </row>
    <row r="151" spans="1:8" x14ac:dyDescent="0.25">
      <c r="A151" t="s">
        <v>1080</v>
      </c>
      <c r="B151" t="s">
        <v>93</v>
      </c>
      <c r="C151" t="s">
        <v>94</v>
      </c>
      <c r="D151" t="s">
        <v>14</v>
      </c>
      <c r="E151">
        <v>368910.47</v>
      </c>
      <c r="F151">
        <v>72</v>
      </c>
      <c r="G151">
        <v>26561553.84</v>
      </c>
      <c r="H151" t="s">
        <v>1017</v>
      </c>
    </row>
    <row r="152" spans="1:8" x14ac:dyDescent="0.25">
      <c r="A152" t="s">
        <v>1081</v>
      </c>
      <c r="B152" t="s">
        <v>381</v>
      </c>
      <c r="C152" t="s">
        <v>382</v>
      </c>
      <c r="D152" t="s">
        <v>19</v>
      </c>
      <c r="E152">
        <v>1118746</v>
      </c>
      <c r="F152">
        <v>23</v>
      </c>
      <c r="G152">
        <v>25731158</v>
      </c>
      <c r="H152" t="s">
        <v>1017</v>
      </c>
    </row>
    <row r="153" spans="1:8" x14ac:dyDescent="0.25">
      <c r="A153" t="s">
        <v>1081</v>
      </c>
      <c r="B153" t="s">
        <v>89</v>
      </c>
      <c r="C153" t="s">
        <v>90</v>
      </c>
      <c r="D153" t="s">
        <v>26</v>
      </c>
      <c r="E153">
        <v>1140400.1299999999</v>
      </c>
      <c r="F153">
        <v>93</v>
      </c>
      <c r="G153">
        <v>106057212.09</v>
      </c>
      <c r="H153" t="s">
        <v>1017</v>
      </c>
    </row>
    <row r="154" spans="1:8" x14ac:dyDescent="0.25">
      <c r="A154" t="s">
        <v>1082</v>
      </c>
      <c r="B154" t="s">
        <v>515</v>
      </c>
      <c r="C154" t="s">
        <v>516</v>
      </c>
      <c r="D154" t="s">
        <v>19</v>
      </c>
      <c r="E154">
        <v>319139.89</v>
      </c>
      <c r="F154">
        <v>60</v>
      </c>
      <c r="G154">
        <v>19148393.399999999</v>
      </c>
      <c r="H154" t="s">
        <v>1017</v>
      </c>
    </row>
    <row r="155" spans="1:8" x14ac:dyDescent="0.25">
      <c r="A155" t="s">
        <v>1082</v>
      </c>
      <c r="B155" t="s">
        <v>561</v>
      </c>
      <c r="C155" t="s">
        <v>562</v>
      </c>
      <c r="D155" t="s">
        <v>19</v>
      </c>
      <c r="E155">
        <v>1587484.82</v>
      </c>
      <c r="F155">
        <v>104</v>
      </c>
      <c r="G155">
        <v>165098421.28</v>
      </c>
      <c r="H155" t="s">
        <v>1017</v>
      </c>
    </row>
    <row r="156" spans="1:8" x14ac:dyDescent="0.25">
      <c r="A156" t="s">
        <v>1083</v>
      </c>
      <c r="B156" t="s">
        <v>515</v>
      </c>
      <c r="C156" t="s">
        <v>516</v>
      </c>
      <c r="D156" t="s">
        <v>19</v>
      </c>
      <c r="E156">
        <v>348376.68</v>
      </c>
      <c r="F156">
        <v>45</v>
      </c>
      <c r="G156">
        <v>15676950.6</v>
      </c>
      <c r="H156" t="s">
        <v>1017</v>
      </c>
    </row>
    <row r="157" spans="1:8" x14ac:dyDescent="0.25">
      <c r="A157" t="s">
        <v>1084</v>
      </c>
      <c r="B157" t="s">
        <v>445</v>
      </c>
      <c r="C157" t="s">
        <v>446</v>
      </c>
      <c r="D157" t="s">
        <v>10</v>
      </c>
      <c r="E157">
        <v>1557320.32</v>
      </c>
      <c r="F157">
        <v>65</v>
      </c>
      <c r="G157">
        <v>101225820.8</v>
      </c>
      <c r="H157" t="s">
        <v>1017</v>
      </c>
    </row>
    <row r="158" spans="1:8" x14ac:dyDescent="0.25">
      <c r="A158" t="s">
        <v>1084</v>
      </c>
      <c r="B158" t="s">
        <v>265</v>
      </c>
      <c r="C158" t="s">
        <v>266</v>
      </c>
      <c r="D158" t="s">
        <v>14</v>
      </c>
      <c r="E158">
        <v>682404.56</v>
      </c>
      <c r="F158">
        <v>11</v>
      </c>
      <c r="G158">
        <v>7506450.1600000001</v>
      </c>
      <c r="H158" t="s">
        <v>1017</v>
      </c>
    </row>
    <row r="159" spans="1:8" x14ac:dyDescent="0.25">
      <c r="A159" t="s">
        <v>1084</v>
      </c>
      <c r="B159" t="s">
        <v>821</v>
      </c>
      <c r="C159" t="s">
        <v>822</v>
      </c>
      <c r="D159" t="s">
        <v>19</v>
      </c>
      <c r="E159">
        <v>1203623.3700000001</v>
      </c>
      <c r="F159">
        <v>48</v>
      </c>
      <c r="G159">
        <v>57773921.759999998</v>
      </c>
      <c r="H159" t="s">
        <v>1017</v>
      </c>
    </row>
    <row r="160" spans="1:8" x14ac:dyDescent="0.25">
      <c r="A160" t="s">
        <v>1084</v>
      </c>
      <c r="B160" t="s">
        <v>945</v>
      </c>
      <c r="C160" t="s">
        <v>946</v>
      </c>
      <c r="D160" t="s">
        <v>10</v>
      </c>
      <c r="E160">
        <v>590993.39</v>
      </c>
      <c r="F160">
        <v>99</v>
      </c>
      <c r="G160">
        <v>58508345.609999999</v>
      </c>
      <c r="H160" t="s">
        <v>1017</v>
      </c>
    </row>
    <row r="161" spans="1:8" x14ac:dyDescent="0.25">
      <c r="A161" t="s">
        <v>1085</v>
      </c>
      <c r="B161" t="s">
        <v>441</v>
      </c>
      <c r="C161" t="s">
        <v>442</v>
      </c>
      <c r="D161" t="s">
        <v>26</v>
      </c>
      <c r="E161">
        <v>3901082.41</v>
      </c>
      <c r="F161">
        <v>81</v>
      </c>
      <c r="G161">
        <v>315987675.20999998</v>
      </c>
      <c r="H161" t="s">
        <v>1017</v>
      </c>
    </row>
    <row r="162" spans="1:8" x14ac:dyDescent="0.25">
      <c r="A162" t="s">
        <v>1086</v>
      </c>
      <c r="B162" t="s">
        <v>199</v>
      </c>
      <c r="C162" t="s">
        <v>200</v>
      </c>
      <c r="D162" t="s">
        <v>26</v>
      </c>
      <c r="E162">
        <v>367421.47</v>
      </c>
      <c r="F162">
        <v>93</v>
      </c>
      <c r="G162">
        <v>34170196.710000001</v>
      </c>
      <c r="H162" t="s">
        <v>1017</v>
      </c>
    </row>
    <row r="163" spans="1:8" x14ac:dyDescent="0.25">
      <c r="A163" t="s">
        <v>1086</v>
      </c>
      <c r="B163" t="s">
        <v>253</v>
      </c>
      <c r="C163" t="s">
        <v>254</v>
      </c>
      <c r="D163" t="s">
        <v>19</v>
      </c>
      <c r="E163">
        <v>1077365.49</v>
      </c>
      <c r="F163">
        <v>24</v>
      </c>
      <c r="G163">
        <v>25856771.760000002</v>
      </c>
      <c r="H163" t="s">
        <v>1017</v>
      </c>
    </row>
    <row r="164" spans="1:8" x14ac:dyDescent="0.25">
      <c r="A164" t="s">
        <v>1087</v>
      </c>
      <c r="B164" t="s">
        <v>99</v>
      </c>
      <c r="C164" t="s">
        <v>100</v>
      </c>
      <c r="D164" t="s">
        <v>14</v>
      </c>
      <c r="E164">
        <v>497908.07</v>
      </c>
      <c r="F164">
        <v>20</v>
      </c>
      <c r="G164">
        <v>9958161.4000000004</v>
      </c>
      <c r="H164" t="s">
        <v>1017</v>
      </c>
    </row>
    <row r="165" spans="1:8" x14ac:dyDescent="0.25">
      <c r="A165" t="s">
        <v>1087</v>
      </c>
      <c r="B165" t="s">
        <v>441</v>
      </c>
      <c r="C165" t="s">
        <v>442</v>
      </c>
      <c r="D165" t="s">
        <v>26</v>
      </c>
      <c r="E165">
        <v>3962041.69</v>
      </c>
      <c r="F165">
        <v>8</v>
      </c>
      <c r="G165">
        <v>31696333.52</v>
      </c>
      <c r="H165" t="s">
        <v>1017</v>
      </c>
    </row>
    <row r="166" spans="1:8" x14ac:dyDescent="0.25">
      <c r="A166" t="s">
        <v>1087</v>
      </c>
      <c r="B166" t="s">
        <v>929</v>
      </c>
      <c r="C166" t="s">
        <v>930</v>
      </c>
      <c r="D166" t="s">
        <v>10</v>
      </c>
      <c r="E166">
        <v>1174723.8799999999</v>
      </c>
      <c r="F166">
        <v>61</v>
      </c>
      <c r="G166">
        <v>71658156.680000007</v>
      </c>
      <c r="H166" t="s">
        <v>1017</v>
      </c>
    </row>
    <row r="167" spans="1:8" x14ac:dyDescent="0.25">
      <c r="A167" t="s">
        <v>1088</v>
      </c>
      <c r="B167" t="s">
        <v>577</v>
      </c>
      <c r="C167" t="s">
        <v>578</v>
      </c>
      <c r="D167" t="s">
        <v>19</v>
      </c>
      <c r="E167">
        <v>1091342.95</v>
      </c>
      <c r="F167">
        <v>67</v>
      </c>
      <c r="G167">
        <v>73119977.650000006</v>
      </c>
      <c r="H167" t="s">
        <v>1017</v>
      </c>
    </row>
    <row r="168" spans="1:8" x14ac:dyDescent="0.25">
      <c r="A168" t="s">
        <v>1088</v>
      </c>
      <c r="B168" t="s">
        <v>437</v>
      </c>
      <c r="C168" t="s">
        <v>438</v>
      </c>
      <c r="D168" t="s">
        <v>14</v>
      </c>
      <c r="E168">
        <v>483602.92</v>
      </c>
      <c r="F168">
        <v>93</v>
      </c>
      <c r="G168">
        <v>44975071.560000002</v>
      </c>
      <c r="H168" t="s">
        <v>1017</v>
      </c>
    </row>
    <row r="169" spans="1:8" x14ac:dyDescent="0.25">
      <c r="A169" t="s">
        <v>1089</v>
      </c>
      <c r="B169" t="s">
        <v>875</v>
      </c>
      <c r="C169" t="s">
        <v>876</v>
      </c>
      <c r="D169" t="s">
        <v>19</v>
      </c>
      <c r="E169">
        <v>840444.45</v>
      </c>
      <c r="F169">
        <v>97</v>
      </c>
      <c r="G169">
        <v>81523111.650000006</v>
      </c>
      <c r="H169" t="s">
        <v>1017</v>
      </c>
    </row>
    <row r="170" spans="1:8" x14ac:dyDescent="0.25">
      <c r="A170" t="s">
        <v>1090</v>
      </c>
      <c r="B170" t="s">
        <v>181</v>
      </c>
      <c r="C170" t="s">
        <v>182</v>
      </c>
      <c r="D170" t="s">
        <v>14</v>
      </c>
      <c r="E170">
        <v>889717.86</v>
      </c>
      <c r="F170">
        <v>91</v>
      </c>
      <c r="G170">
        <v>80964325.260000005</v>
      </c>
      <c r="H170" t="s">
        <v>1017</v>
      </c>
    </row>
    <row r="171" spans="1:8" x14ac:dyDescent="0.25">
      <c r="A171" t="s">
        <v>1091</v>
      </c>
      <c r="B171" t="s">
        <v>865</v>
      </c>
      <c r="C171" t="s">
        <v>866</v>
      </c>
      <c r="D171" t="s">
        <v>14</v>
      </c>
      <c r="E171">
        <v>1129889.03</v>
      </c>
      <c r="F171">
        <v>38</v>
      </c>
      <c r="G171">
        <v>42935783.140000001</v>
      </c>
      <c r="H171" t="s">
        <v>1017</v>
      </c>
    </row>
    <row r="172" spans="1:8" x14ac:dyDescent="0.25">
      <c r="A172" t="s">
        <v>1092</v>
      </c>
      <c r="B172" t="s">
        <v>363</v>
      </c>
      <c r="C172" t="s">
        <v>364</v>
      </c>
      <c r="D172" t="s">
        <v>14</v>
      </c>
      <c r="E172">
        <v>376690.91</v>
      </c>
      <c r="F172">
        <v>39</v>
      </c>
      <c r="G172">
        <v>14690945.49</v>
      </c>
      <c r="H172" t="s">
        <v>1017</v>
      </c>
    </row>
    <row r="173" spans="1:8" x14ac:dyDescent="0.25">
      <c r="A173" t="s">
        <v>1092</v>
      </c>
      <c r="B173" t="s">
        <v>401</v>
      </c>
      <c r="C173" t="s">
        <v>402</v>
      </c>
      <c r="D173" t="s">
        <v>19</v>
      </c>
      <c r="E173">
        <v>1229026.6399999999</v>
      </c>
      <c r="F173">
        <v>11</v>
      </c>
      <c r="G173">
        <v>13519293.039999999</v>
      </c>
      <c r="H173" t="s">
        <v>1017</v>
      </c>
    </row>
    <row r="174" spans="1:8" x14ac:dyDescent="0.25">
      <c r="A174" t="s">
        <v>1093</v>
      </c>
      <c r="B174" t="s">
        <v>109</v>
      </c>
      <c r="C174" t="s">
        <v>110</v>
      </c>
      <c r="D174" t="s">
        <v>10</v>
      </c>
      <c r="E174">
        <v>1274126.1299999999</v>
      </c>
      <c r="F174">
        <v>24</v>
      </c>
      <c r="G174">
        <v>30579027.120000001</v>
      </c>
      <c r="H174" t="s">
        <v>1017</v>
      </c>
    </row>
    <row r="175" spans="1:8" x14ac:dyDescent="0.25">
      <c r="A175" t="s">
        <v>1093</v>
      </c>
      <c r="B175" t="s">
        <v>695</v>
      </c>
      <c r="C175" t="s">
        <v>696</v>
      </c>
      <c r="D175" t="s">
        <v>19</v>
      </c>
      <c r="E175">
        <v>219380.79</v>
      </c>
      <c r="F175">
        <v>58</v>
      </c>
      <c r="G175">
        <v>12724085.82</v>
      </c>
      <c r="H175" t="s">
        <v>1017</v>
      </c>
    </row>
    <row r="176" spans="1:8" x14ac:dyDescent="0.25">
      <c r="A176" t="s">
        <v>1093</v>
      </c>
      <c r="B176" t="s">
        <v>837</v>
      </c>
      <c r="C176" t="s">
        <v>838</v>
      </c>
      <c r="D176" t="s">
        <v>26</v>
      </c>
      <c r="E176">
        <v>3547987.07</v>
      </c>
      <c r="F176">
        <v>75</v>
      </c>
      <c r="G176">
        <v>266099030.25</v>
      </c>
      <c r="H176" t="s">
        <v>1017</v>
      </c>
    </row>
    <row r="177" spans="1:8" x14ac:dyDescent="0.25">
      <c r="A177" t="s">
        <v>1094</v>
      </c>
      <c r="B177" t="s">
        <v>967</v>
      </c>
      <c r="C177" t="s">
        <v>968</v>
      </c>
      <c r="D177" t="s">
        <v>19</v>
      </c>
      <c r="E177">
        <v>156756.26</v>
      </c>
      <c r="F177">
        <v>110</v>
      </c>
      <c r="G177">
        <v>17243188.600000001</v>
      </c>
      <c r="H177" t="s">
        <v>1017</v>
      </c>
    </row>
    <row r="178" spans="1:8" x14ac:dyDescent="0.25">
      <c r="A178" t="s">
        <v>1095</v>
      </c>
      <c r="B178" t="s">
        <v>63</v>
      </c>
      <c r="C178" t="s">
        <v>64</v>
      </c>
      <c r="D178" t="s">
        <v>19</v>
      </c>
      <c r="E178">
        <v>1334626.1200000001</v>
      </c>
      <c r="F178">
        <v>108</v>
      </c>
      <c r="G178">
        <v>144139620.96000001</v>
      </c>
      <c r="H178" t="s">
        <v>1017</v>
      </c>
    </row>
    <row r="179" spans="1:8" x14ac:dyDescent="0.25">
      <c r="A179" t="s">
        <v>1096</v>
      </c>
      <c r="B179" t="s">
        <v>75</v>
      </c>
      <c r="C179" t="s">
        <v>76</v>
      </c>
      <c r="D179" t="s">
        <v>10</v>
      </c>
      <c r="E179">
        <v>323555.08</v>
      </c>
      <c r="F179">
        <v>72</v>
      </c>
      <c r="G179">
        <v>23295965.760000002</v>
      </c>
      <c r="H179" t="s">
        <v>1017</v>
      </c>
    </row>
    <row r="180" spans="1:8" x14ac:dyDescent="0.25">
      <c r="A180" t="s">
        <v>1096</v>
      </c>
      <c r="B180" t="s">
        <v>831</v>
      </c>
      <c r="C180" t="s">
        <v>832</v>
      </c>
      <c r="D180" t="s">
        <v>14</v>
      </c>
      <c r="E180">
        <v>481383.81</v>
      </c>
      <c r="F180">
        <v>86</v>
      </c>
      <c r="G180">
        <v>41399007.659999996</v>
      </c>
      <c r="H180" t="s">
        <v>1017</v>
      </c>
    </row>
    <row r="181" spans="1:8" x14ac:dyDescent="0.25">
      <c r="A181" t="s">
        <v>1096</v>
      </c>
      <c r="B181" t="s">
        <v>101</v>
      </c>
      <c r="C181" t="s">
        <v>102</v>
      </c>
      <c r="D181" t="s">
        <v>10</v>
      </c>
      <c r="E181">
        <v>497814.22</v>
      </c>
      <c r="F181">
        <v>93</v>
      </c>
      <c r="G181">
        <v>46296722.460000001</v>
      </c>
      <c r="H181" t="s">
        <v>1017</v>
      </c>
    </row>
    <row r="182" spans="1:8" x14ac:dyDescent="0.25">
      <c r="A182" t="s">
        <v>1097</v>
      </c>
      <c r="B182" t="s">
        <v>991</v>
      </c>
      <c r="C182" t="s">
        <v>992</v>
      </c>
      <c r="D182" t="s">
        <v>10</v>
      </c>
      <c r="E182">
        <v>97057.67</v>
      </c>
      <c r="F182">
        <v>39</v>
      </c>
      <c r="G182">
        <v>3785249.13</v>
      </c>
      <c r="H182" t="s">
        <v>1017</v>
      </c>
    </row>
    <row r="183" spans="1:8" x14ac:dyDescent="0.25">
      <c r="A183" t="s">
        <v>1098</v>
      </c>
      <c r="B183" t="s">
        <v>787</v>
      </c>
      <c r="C183" t="s">
        <v>788</v>
      </c>
      <c r="D183" t="s">
        <v>19</v>
      </c>
      <c r="E183">
        <v>2046450.1</v>
      </c>
      <c r="F183">
        <v>30</v>
      </c>
      <c r="G183">
        <v>61393503</v>
      </c>
      <c r="H183" t="s">
        <v>1017</v>
      </c>
    </row>
    <row r="184" spans="1:8" x14ac:dyDescent="0.25">
      <c r="A184" t="s">
        <v>1098</v>
      </c>
      <c r="B184" t="s">
        <v>661</v>
      </c>
      <c r="C184" t="s">
        <v>662</v>
      </c>
      <c r="D184" t="s">
        <v>26</v>
      </c>
      <c r="E184">
        <v>3213702.84</v>
      </c>
      <c r="F184">
        <v>41</v>
      </c>
      <c r="G184">
        <v>131761816.44</v>
      </c>
      <c r="H184" t="s">
        <v>1017</v>
      </c>
    </row>
    <row r="185" spans="1:8" x14ac:dyDescent="0.25">
      <c r="A185" t="s">
        <v>1098</v>
      </c>
      <c r="B185" t="s">
        <v>95</v>
      </c>
      <c r="C185" t="s">
        <v>96</v>
      </c>
      <c r="D185" t="s">
        <v>14</v>
      </c>
      <c r="E185">
        <v>880175.1</v>
      </c>
      <c r="F185">
        <v>92</v>
      </c>
      <c r="G185">
        <v>80976109.200000003</v>
      </c>
      <c r="H185" t="s">
        <v>1017</v>
      </c>
    </row>
    <row r="186" spans="1:8" x14ac:dyDescent="0.25">
      <c r="A186" t="s">
        <v>1098</v>
      </c>
      <c r="B186" t="s">
        <v>261</v>
      </c>
      <c r="C186" t="s">
        <v>262</v>
      </c>
      <c r="D186" t="s">
        <v>10</v>
      </c>
      <c r="E186">
        <v>1580275.08</v>
      </c>
      <c r="F186">
        <v>99</v>
      </c>
      <c r="G186">
        <v>156447232.91999999</v>
      </c>
      <c r="H186" t="s">
        <v>1017</v>
      </c>
    </row>
    <row r="187" spans="1:8" x14ac:dyDescent="0.25">
      <c r="A187" t="s">
        <v>1099</v>
      </c>
      <c r="B187" t="s">
        <v>757</v>
      </c>
      <c r="C187" t="s">
        <v>758</v>
      </c>
      <c r="D187" t="s">
        <v>14</v>
      </c>
      <c r="E187">
        <v>163678.17000000001</v>
      </c>
      <c r="F187">
        <v>105</v>
      </c>
      <c r="G187">
        <v>17186207.850000001</v>
      </c>
      <c r="H187" t="s">
        <v>1017</v>
      </c>
    </row>
    <row r="188" spans="1:8" x14ac:dyDescent="0.25">
      <c r="A188" t="s">
        <v>1100</v>
      </c>
      <c r="B188" t="s">
        <v>769</v>
      </c>
      <c r="C188" t="s">
        <v>770</v>
      </c>
      <c r="D188" t="s">
        <v>10</v>
      </c>
      <c r="E188">
        <v>969034.44</v>
      </c>
      <c r="F188">
        <v>34</v>
      </c>
      <c r="G188">
        <v>32947170.960000001</v>
      </c>
      <c r="H188" t="s">
        <v>1017</v>
      </c>
    </row>
    <row r="189" spans="1:8" x14ac:dyDescent="0.25">
      <c r="A189" t="s">
        <v>1100</v>
      </c>
      <c r="B189" t="s">
        <v>109</v>
      </c>
      <c r="C189" t="s">
        <v>110</v>
      </c>
      <c r="D189" t="s">
        <v>10</v>
      </c>
      <c r="E189">
        <v>1217510.3700000001</v>
      </c>
      <c r="F189">
        <v>31</v>
      </c>
      <c r="G189">
        <v>37742821.469999999</v>
      </c>
      <c r="H189" t="s">
        <v>1017</v>
      </c>
    </row>
    <row r="190" spans="1:8" x14ac:dyDescent="0.25">
      <c r="A190" t="s">
        <v>1101</v>
      </c>
      <c r="B190" t="s">
        <v>627</v>
      </c>
      <c r="C190" t="s">
        <v>628</v>
      </c>
      <c r="D190" t="s">
        <v>19</v>
      </c>
      <c r="E190">
        <v>1246299.6200000001</v>
      </c>
      <c r="F190">
        <v>18</v>
      </c>
      <c r="G190">
        <v>22433393.16</v>
      </c>
      <c r="H190" t="s">
        <v>1017</v>
      </c>
    </row>
    <row r="191" spans="1:8" x14ac:dyDescent="0.25">
      <c r="A191" t="s">
        <v>1101</v>
      </c>
      <c r="B191" t="s">
        <v>111</v>
      </c>
      <c r="C191" t="s">
        <v>112</v>
      </c>
      <c r="D191" t="s">
        <v>19</v>
      </c>
      <c r="E191">
        <v>620195.36</v>
      </c>
      <c r="F191">
        <v>77</v>
      </c>
      <c r="G191">
        <v>47755042.719999999</v>
      </c>
      <c r="H191" t="s">
        <v>1017</v>
      </c>
    </row>
    <row r="192" spans="1:8" x14ac:dyDescent="0.25">
      <c r="A192" t="s">
        <v>1102</v>
      </c>
      <c r="B192" t="s">
        <v>291</v>
      </c>
      <c r="C192" t="s">
        <v>292</v>
      </c>
      <c r="D192" t="s">
        <v>26</v>
      </c>
      <c r="E192">
        <v>1711816.78</v>
      </c>
      <c r="F192">
        <v>98</v>
      </c>
      <c r="G192">
        <v>167758044.44</v>
      </c>
      <c r="H192" t="s">
        <v>1017</v>
      </c>
    </row>
    <row r="193" spans="1:8" x14ac:dyDescent="0.25">
      <c r="A193" t="s">
        <v>1102</v>
      </c>
      <c r="B193" t="s">
        <v>733</v>
      </c>
      <c r="C193" t="s">
        <v>734</v>
      </c>
      <c r="D193" t="s">
        <v>14</v>
      </c>
      <c r="E193">
        <v>326587.14</v>
      </c>
      <c r="F193">
        <v>63</v>
      </c>
      <c r="G193">
        <v>20574989.82</v>
      </c>
      <c r="H193" t="s">
        <v>1017</v>
      </c>
    </row>
    <row r="194" spans="1:8" x14ac:dyDescent="0.25">
      <c r="A194" t="s">
        <v>1102</v>
      </c>
      <c r="B194" t="s">
        <v>379</v>
      </c>
      <c r="C194" t="s">
        <v>380</v>
      </c>
      <c r="D194" t="s">
        <v>10</v>
      </c>
      <c r="E194">
        <v>318018.21999999997</v>
      </c>
      <c r="F194">
        <v>25</v>
      </c>
      <c r="G194">
        <v>7950455.5</v>
      </c>
      <c r="H194" t="s">
        <v>1017</v>
      </c>
    </row>
    <row r="195" spans="1:8" x14ac:dyDescent="0.25">
      <c r="A195" t="s">
        <v>1103</v>
      </c>
      <c r="B195" t="s">
        <v>525</v>
      </c>
      <c r="C195" t="s">
        <v>526</v>
      </c>
      <c r="D195" t="s">
        <v>10</v>
      </c>
      <c r="E195">
        <v>1430673.49</v>
      </c>
      <c r="F195">
        <v>7</v>
      </c>
      <c r="G195">
        <v>10014714.43</v>
      </c>
      <c r="H195" t="s">
        <v>1017</v>
      </c>
    </row>
    <row r="196" spans="1:8" x14ac:dyDescent="0.25">
      <c r="A196" t="s">
        <v>1103</v>
      </c>
      <c r="B196" t="s">
        <v>599</v>
      </c>
      <c r="C196" t="s">
        <v>600</v>
      </c>
      <c r="D196" t="s">
        <v>26</v>
      </c>
      <c r="E196">
        <v>2459553.7999999998</v>
      </c>
      <c r="F196">
        <v>45</v>
      </c>
      <c r="G196">
        <v>110679921</v>
      </c>
      <c r="H196" t="s">
        <v>1017</v>
      </c>
    </row>
    <row r="197" spans="1:8" x14ac:dyDescent="0.25">
      <c r="A197" t="s">
        <v>1103</v>
      </c>
      <c r="B197" t="s">
        <v>529</v>
      </c>
      <c r="C197" t="s">
        <v>530</v>
      </c>
      <c r="D197" t="s">
        <v>14</v>
      </c>
      <c r="E197">
        <v>259087.07</v>
      </c>
      <c r="F197">
        <v>101</v>
      </c>
      <c r="G197">
        <v>26167794.07</v>
      </c>
      <c r="H197" t="s">
        <v>1017</v>
      </c>
    </row>
    <row r="198" spans="1:8" x14ac:dyDescent="0.25">
      <c r="A198" t="s">
        <v>1103</v>
      </c>
      <c r="B198" t="s">
        <v>759</v>
      </c>
      <c r="C198" t="s">
        <v>760</v>
      </c>
      <c r="D198" t="s">
        <v>10</v>
      </c>
      <c r="E198">
        <v>361155.52</v>
      </c>
      <c r="F198">
        <v>80</v>
      </c>
      <c r="G198">
        <v>28892441.600000001</v>
      </c>
      <c r="H198" t="s">
        <v>1017</v>
      </c>
    </row>
    <row r="199" spans="1:8" x14ac:dyDescent="0.25">
      <c r="A199" t="s">
        <v>1104</v>
      </c>
      <c r="B199" t="s">
        <v>179</v>
      </c>
      <c r="C199" t="s">
        <v>180</v>
      </c>
      <c r="D199" t="s">
        <v>19</v>
      </c>
      <c r="E199">
        <v>1914715.43</v>
      </c>
      <c r="F199">
        <v>15</v>
      </c>
      <c r="G199">
        <v>28720731.449999999</v>
      </c>
      <c r="H199" t="s">
        <v>1017</v>
      </c>
    </row>
    <row r="200" spans="1:8" x14ac:dyDescent="0.25">
      <c r="A200" t="s">
        <v>1105</v>
      </c>
      <c r="B200" t="s">
        <v>445</v>
      </c>
      <c r="C200" t="s">
        <v>446</v>
      </c>
      <c r="D200" t="s">
        <v>10</v>
      </c>
      <c r="E200">
        <v>1527269.78</v>
      </c>
      <c r="F200">
        <v>71</v>
      </c>
      <c r="G200">
        <v>108436154.38</v>
      </c>
      <c r="H200" t="s">
        <v>1017</v>
      </c>
    </row>
    <row r="201" spans="1:8" x14ac:dyDescent="0.25">
      <c r="A201" t="s">
        <v>1105</v>
      </c>
      <c r="B201" t="s">
        <v>313</v>
      </c>
      <c r="C201" t="s">
        <v>314</v>
      </c>
      <c r="D201" t="s">
        <v>26</v>
      </c>
      <c r="E201">
        <v>1425953.86</v>
      </c>
      <c r="F201">
        <v>52</v>
      </c>
      <c r="G201">
        <v>74149600.719999999</v>
      </c>
      <c r="H201" t="s">
        <v>1017</v>
      </c>
    </row>
    <row r="202" spans="1:8" x14ac:dyDescent="0.25">
      <c r="A202" t="s">
        <v>1105</v>
      </c>
      <c r="B202" t="s">
        <v>423</v>
      </c>
      <c r="C202" t="s">
        <v>424</v>
      </c>
      <c r="D202" t="s">
        <v>26</v>
      </c>
      <c r="E202">
        <v>3238465.44</v>
      </c>
      <c r="F202">
        <v>66</v>
      </c>
      <c r="G202">
        <v>213738719.03999999</v>
      </c>
      <c r="H202" t="s">
        <v>1017</v>
      </c>
    </row>
    <row r="203" spans="1:8" x14ac:dyDescent="0.25">
      <c r="A203" t="s">
        <v>1105</v>
      </c>
      <c r="B203" t="s">
        <v>69</v>
      </c>
      <c r="C203" t="s">
        <v>70</v>
      </c>
      <c r="D203" t="s">
        <v>26</v>
      </c>
      <c r="E203">
        <v>2587896.64</v>
      </c>
      <c r="F203">
        <v>71</v>
      </c>
      <c r="G203">
        <v>183740661.44</v>
      </c>
      <c r="H203" t="s">
        <v>1017</v>
      </c>
    </row>
    <row r="204" spans="1:8" x14ac:dyDescent="0.25">
      <c r="A204" t="s">
        <v>1105</v>
      </c>
      <c r="B204" t="s">
        <v>275</v>
      </c>
      <c r="C204" t="s">
        <v>276</v>
      </c>
      <c r="D204" t="s">
        <v>10</v>
      </c>
      <c r="E204">
        <v>373499.61</v>
      </c>
      <c r="F204">
        <v>65</v>
      </c>
      <c r="G204">
        <v>24277474.649999999</v>
      </c>
      <c r="H204" t="s">
        <v>1017</v>
      </c>
    </row>
    <row r="205" spans="1:8" x14ac:dyDescent="0.25">
      <c r="A205" t="s">
        <v>1106</v>
      </c>
      <c r="B205" t="s">
        <v>837</v>
      </c>
      <c r="C205" t="s">
        <v>838</v>
      </c>
      <c r="D205" t="s">
        <v>26</v>
      </c>
      <c r="E205">
        <v>3229192.6</v>
      </c>
      <c r="F205">
        <v>72</v>
      </c>
      <c r="G205">
        <v>232501867.19999999</v>
      </c>
      <c r="H205" t="s">
        <v>1017</v>
      </c>
    </row>
    <row r="206" spans="1:8" x14ac:dyDescent="0.25">
      <c r="A206" t="s">
        <v>1107</v>
      </c>
      <c r="B206" t="s">
        <v>441</v>
      </c>
      <c r="C206" t="s">
        <v>442</v>
      </c>
      <c r="D206" t="s">
        <v>26</v>
      </c>
      <c r="E206">
        <v>3959661.96</v>
      </c>
      <c r="F206">
        <v>75</v>
      </c>
      <c r="G206">
        <v>296974647</v>
      </c>
      <c r="H206" t="s">
        <v>1017</v>
      </c>
    </row>
    <row r="207" spans="1:8" x14ac:dyDescent="0.25">
      <c r="A207" t="s">
        <v>1108</v>
      </c>
      <c r="B207" t="s">
        <v>911</v>
      </c>
      <c r="C207" t="s">
        <v>912</v>
      </c>
      <c r="D207" t="s">
        <v>14</v>
      </c>
      <c r="E207">
        <v>95434.58</v>
      </c>
      <c r="F207">
        <v>9</v>
      </c>
      <c r="G207">
        <v>858911.22</v>
      </c>
      <c r="H207" t="s">
        <v>1017</v>
      </c>
    </row>
    <row r="208" spans="1:8" x14ac:dyDescent="0.25">
      <c r="A208" t="s">
        <v>1109</v>
      </c>
      <c r="B208" t="s">
        <v>423</v>
      </c>
      <c r="C208" t="s">
        <v>424</v>
      </c>
      <c r="D208" t="s">
        <v>26</v>
      </c>
      <c r="E208">
        <v>3363417.96</v>
      </c>
      <c r="F208">
        <v>87</v>
      </c>
      <c r="G208">
        <v>292617362.51999998</v>
      </c>
      <c r="H208" t="s">
        <v>1017</v>
      </c>
    </row>
    <row r="209" spans="1:8" x14ac:dyDescent="0.25">
      <c r="A209" t="s">
        <v>1110</v>
      </c>
      <c r="B209" t="s">
        <v>573</v>
      </c>
      <c r="C209" t="s">
        <v>574</v>
      </c>
      <c r="D209" t="s">
        <v>19</v>
      </c>
      <c r="E209">
        <v>1402145.57</v>
      </c>
      <c r="F209">
        <v>105</v>
      </c>
      <c r="G209">
        <v>147225284.84999999</v>
      </c>
      <c r="H209" t="s">
        <v>1017</v>
      </c>
    </row>
    <row r="210" spans="1:8" x14ac:dyDescent="0.25">
      <c r="A210" t="s">
        <v>1110</v>
      </c>
      <c r="B210" t="s">
        <v>723</v>
      </c>
      <c r="C210" t="s">
        <v>724</v>
      </c>
      <c r="D210" t="s">
        <v>26</v>
      </c>
      <c r="E210">
        <v>3788963.93</v>
      </c>
      <c r="F210">
        <v>105</v>
      </c>
      <c r="G210">
        <v>397841212.64999998</v>
      </c>
      <c r="H210" t="s">
        <v>1017</v>
      </c>
    </row>
    <row r="211" spans="1:8" x14ac:dyDescent="0.25">
      <c r="A211" t="s">
        <v>1111</v>
      </c>
      <c r="B211" t="s">
        <v>759</v>
      </c>
      <c r="C211" t="s">
        <v>760</v>
      </c>
      <c r="D211" t="s">
        <v>10</v>
      </c>
      <c r="E211">
        <v>340154.7</v>
      </c>
      <c r="F211">
        <v>77</v>
      </c>
      <c r="G211">
        <v>26191911.899999999</v>
      </c>
      <c r="H211" t="s">
        <v>1017</v>
      </c>
    </row>
    <row r="212" spans="1:8" x14ac:dyDescent="0.25">
      <c r="A212" t="s">
        <v>1111</v>
      </c>
      <c r="B212" t="s">
        <v>981</v>
      </c>
      <c r="C212" t="s">
        <v>982</v>
      </c>
      <c r="D212" t="s">
        <v>14</v>
      </c>
      <c r="E212">
        <v>662017.82999999996</v>
      </c>
      <c r="F212">
        <v>104</v>
      </c>
      <c r="G212">
        <v>68849854.319999993</v>
      </c>
      <c r="H212" t="s">
        <v>1017</v>
      </c>
    </row>
    <row r="213" spans="1:8" x14ac:dyDescent="0.25">
      <c r="A213" t="s">
        <v>1111</v>
      </c>
      <c r="B213" t="s">
        <v>951</v>
      </c>
      <c r="C213" t="s">
        <v>952</v>
      </c>
      <c r="D213" t="s">
        <v>26</v>
      </c>
      <c r="E213">
        <v>1833715.36</v>
      </c>
      <c r="F213">
        <v>71</v>
      </c>
      <c r="G213">
        <v>130193790.56</v>
      </c>
      <c r="H213" t="s">
        <v>1017</v>
      </c>
    </row>
    <row r="214" spans="1:8" x14ac:dyDescent="0.25">
      <c r="A214" t="s">
        <v>1112</v>
      </c>
      <c r="B214" t="s">
        <v>807</v>
      </c>
      <c r="C214" t="s">
        <v>808</v>
      </c>
      <c r="D214" t="s">
        <v>14</v>
      </c>
      <c r="E214">
        <v>471316.33</v>
      </c>
      <c r="F214">
        <v>8</v>
      </c>
      <c r="G214">
        <v>3770530.64</v>
      </c>
      <c r="H214" t="s">
        <v>1017</v>
      </c>
    </row>
    <row r="215" spans="1:8" x14ac:dyDescent="0.25">
      <c r="A215" t="s">
        <v>1113</v>
      </c>
      <c r="B215" t="s">
        <v>911</v>
      </c>
      <c r="C215" t="s">
        <v>912</v>
      </c>
      <c r="D215" t="s">
        <v>14</v>
      </c>
      <c r="E215">
        <v>99191.61</v>
      </c>
      <c r="F215">
        <v>16</v>
      </c>
      <c r="G215">
        <v>1587065.76</v>
      </c>
      <c r="H215" t="s">
        <v>1017</v>
      </c>
    </row>
    <row r="216" spans="1:8" x14ac:dyDescent="0.25">
      <c r="A216" t="s">
        <v>1113</v>
      </c>
      <c r="B216" t="s">
        <v>519</v>
      </c>
      <c r="C216" t="s">
        <v>520</v>
      </c>
      <c r="D216" t="s">
        <v>10</v>
      </c>
      <c r="E216">
        <v>283851.13</v>
      </c>
      <c r="F216">
        <v>105</v>
      </c>
      <c r="G216">
        <v>29804368.649999999</v>
      </c>
      <c r="H216" t="s">
        <v>1017</v>
      </c>
    </row>
    <row r="217" spans="1:8" x14ac:dyDescent="0.25">
      <c r="A217" t="s">
        <v>1113</v>
      </c>
      <c r="B217" t="s">
        <v>463</v>
      </c>
      <c r="C217" t="s">
        <v>464</v>
      </c>
      <c r="D217" t="s">
        <v>19</v>
      </c>
      <c r="E217">
        <v>866125.07</v>
      </c>
      <c r="F217">
        <v>97</v>
      </c>
      <c r="G217">
        <v>84014131.790000007</v>
      </c>
      <c r="H217" t="s">
        <v>1017</v>
      </c>
    </row>
    <row r="218" spans="1:8" x14ac:dyDescent="0.25">
      <c r="A218" t="s">
        <v>1114</v>
      </c>
      <c r="B218" t="s">
        <v>553</v>
      </c>
      <c r="C218" t="s">
        <v>554</v>
      </c>
      <c r="D218" t="s">
        <v>19</v>
      </c>
      <c r="E218">
        <v>124263.41</v>
      </c>
      <c r="F218">
        <v>100</v>
      </c>
      <c r="G218">
        <v>12426341</v>
      </c>
      <c r="H218" t="s">
        <v>1017</v>
      </c>
    </row>
    <row r="219" spans="1:8" x14ac:dyDescent="0.25">
      <c r="A219" t="s">
        <v>1114</v>
      </c>
      <c r="B219" t="s">
        <v>475</v>
      </c>
      <c r="C219" t="s">
        <v>476</v>
      </c>
      <c r="D219" t="s">
        <v>10</v>
      </c>
      <c r="E219">
        <v>1391637.83</v>
      </c>
      <c r="F219">
        <v>56</v>
      </c>
      <c r="G219">
        <v>77931718.480000004</v>
      </c>
      <c r="H219" t="s">
        <v>1017</v>
      </c>
    </row>
    <row r="220" spans="1:8" x14ac:dyDescent="0.25">
      <c r="A220" t="s">
        <v>1115</v>
      </c>
      <c r="B220" t="s">
        <v>401</v>
      </c>
      <c r="C220" t="s">
        <v>402</v>
      </c>
      <c r="D220" t="s">
        <v>19</v>
      </c>
      <c r="E220">
        <v>1203183.24</v>
      </c>
      <c r="F220">
        <v>59</v>
      </c>
      <c r="G220">
        <v>70987811.159999996</v>
      </c>
      <c r="H220" t="s">
        <v>1017</v>
      </c>
    </row>
    <row r="221" spans="1:8" x14ac:dyDescent="0.25">
      <c r="A221" t="s">
        <v>1116</v>
      </c>
      <c r="B221" t="s">
        <v>745</v>
      </c>
      <c r="C221" t="s">
        <v>746</v>
      </c>
      <c r="D221" t="s">
        <v>19</v>
      </c>
      <c r="E221">
        <v>1072020.3700000001</v>
      </c>
      <c r="F221">
        <v>45</v>
      </c>
      <c r="G221">
        <v>48240916.649999999</v>
      </c>
      <c r="H221" t="s">
        <v>1017</v>
      </c>
    </row>
    <row r="222" spans="1:8" x14ac:dyDescent="0.25">
      <c r="A222" t="s">
        <v>1116</v>
      </c>
      <c r="B222" t="s">
        <v>785</v>
      </c>
      <c r="C222" t="s">
        <v>786</v>
      </c>
      <c r="D222" t="s">
        <v>19</v>
      </c>
      <c r="E222">
        <v>1766879.12</v>
      </c>
      <c r="F222">
        <v>53</v>
      </c>
      <c r="G222">
        <v>93644593.359999999</v>
      </c>
      <c r="H222" t="s">
        <v>1017</v>
      </c>
    </row>
    <row r="223" spans="1:8" x14ac:dyDescent="0.25">
      <c r="A223" t="s">
        <v>1117</v>
      </c>
      <c r="B223" t="s">
        <v>629</v>
      </c>
      <c r="C223" t="s">
        <v>630</v>
      </c>
      <c r="D223" t="s">
        <v>10</v>
      </c>
      <c r="E223">
        <v>1152035.54</v>
      </c>
      <c r="F223">
        <v>94</v>
      </c>
      <c r="G223">
        <v>108291340.76000001</v>
      </c>
      <c r="H223" t="s">
        <v>1017</v>
      </c>
    </row>
    <row r="224" spans="1:8" x14ac:dyDescent="0.25">
      <c r="A224" t="s">
        <v>1117</v>
      </c>
      <c r="B224" t="s">
        <v>293</v>
      </c>
      <c r="C224" t="s">
        <v>294</v>
      </c>
      <c r="D224" t="s">
        <v>19</v>
      </c>
      <c r="E224">
        <v>129203.53</v>
      </c>
      <c r="F224">
        <v>99</v>
      </c>
      <c r="G224">
        <v>12791149.470000001</v>
      </c>
      <c r="H224" t="s">
        <v>1017</v>
      </c>
    </row>
    <row r="225" spans="1:8" x14ac:dyDescent="0.25">
      <c r="A225" t="s">
        <v>1118</v>
      </c>
      <c r="B225" t="s">
        <v>387</v>
      </c>
      <c r="C225" t="s">
        <v>388</v>
      </c>
      <c r="D225" t="s">
        <v>19</v>
      </c>
      <c r="E225">
        <v>83351.509999999995</v>
      </c>
      <c r="F225">
        <v>96</v>
      </c>
      <c r="G225">
        <v>8001744.96</v>
      </c>
      <c r="H225" t="s">
        <v>1017</v>
      </c>
    </row>
    <row r="226" spans="1:8" x14ac:dyDescent="0.25">
      <c r="A226" t="s">
        <v>1118</v>
      </c>
      <c r="B226" t="s">
        <v>299</v>
      </c>
      <c r="C226" t="s">
        <v>300</v>
      </c>
      <c r="D226" t="s">
        <v>19</v>
      </c>
      <c r="E226">
        <v>233668.17</v>
      </c>
      <c r="F226">
        <v>24</v>
      </c>
      <c r="G226">
        <v>5608036.0800000001</v>
      </c>
      <c r="H226" t="s">
        <v>1017</v>
      </c>
    </row>
    <row r="227" spans="1:8" x14ac:dyDescent="0.25">
      <c r="A227" t="s">
        <v>1119</v>
      </c>
      <c r="B227" t="s">
        <v>125</v>
      </c>
      <c r="C227" t="s">
        <v>126</v>
      </c>
      <c r="D227" t="s">
        <v>14</v>
      </c>
      <c r="E227">
        <v>386438.79</v>
      </c>
      <c r="F227">
        <v>50</v>
      </c>
      <c r="G227">
        <v>19321939.5</v>
      </c>
      <c r="H227" t="s">
        <v>1017</v>
      </c>
    </row>
    <row r="228" spans="1:8" x14ac:dyDescent="0.25">
      <c r="A228" t="s">
        <v>1119</v>
      </c>
      <c r="B228" t="s">
        <v>829</v>
      </c>
      <c r="C228" t="s">
        <v>830</v>
      </c>
      <c r="D228" t="s">
        <v>19</v>
      </c>
      <c r="E228">
        <v>224438.04</v>
      </c>
      <c r="F228">
        <v>30</v>
      </c>
      <c r="G228">
        <v>6733141.2000000002</v>
      </c>
      <c r="H228" t="s">
        <v>1017</v>
      </c>
    </row>
    <row r="229" spans="1:8" x14ac:dyDescent="0.25">
      <c r="A229" t="s">
        <v>1120</v>
      </c>
      <c r="B229" t="s">
        <v>467</v>
      </c>
      <c r="C229" t="s">
        <v>468</v>
      </c>
      <c r="D229" t="s">
        <v>19</v>
      </c>
      <c r="E229">
        <v>1819011.46</v>
      </c>
      <c r="F229">
        <v>12</v>
      </c>
      <c r="G229">
        <v>21828137.52</v>
      </c>
      <c r="H229" t="s">
        <v>1017</v>
      </c>
    </row>
    <row r="230" spans="1:8" x14ac:dyDescent="0.25">
      <c r="A230" t="s">
        <v>1120</v>
      </c>
      <c r="B230" t="s">
        <v>789</v>
      </c>
      <c r="C230" t="s">
        <v>790</v>
      </c>
      <c r="D230" t="s">
        <v>14</v>
      </c>
      <c r="E230">
        <v>447406.94</v>
      </c>
      <c r="F230">
        <v>12</v>
      </c>
      <c r="G230">
        <v>5368883.2800000003</v>
      </c>
      <c r="H230" t="s">
        <v>1017</v>
      </c>
    </row>
    <row r="231" spans="1:8" x14ac:dyDescent="0.25">
      <c r="A231" t="s">
        <v>1121</v>
      </c>
      <c r="B231" t="s">
        <v>541</v>
      </c>
      <c r="C231" t="s">
        <v>542</v>
      </c>
      <c r="D231" t="s">
        <v>10</v>
      </c>
      <c r="E231">
        <v>224089.81</v>
      </c>
      <c r="F231">
        <v>98</v>
      </c>
      <c r="G231">
        <v>21960801.379999999</v>
      </c>
      <c r="H231" t="s">
        <v>1017</v>
      </c>
    </row>
    <row r="232" spans="1:8" x14ac:dyDescent="0.25">
      <c r="A232" t="s">
        <v>1122</v>
      </c>
      <c r="B232" t="s">
        <v>501</v>
      </c>
      <c r="C232" t="s">
        <v>502</v>
      </c>
      <c r="D232" t="s">
        <v>19</v>
      </c>
      <c r="E232">
        <v>1040678.05</v>
      </c>
      <c r="F232">
        <v>44</v>
      </c>
      <c r="G232">
        <v>45789834.200000003</v>
      </c>
      <c r="H232" t="s">
        <v>1017</v>
      </c>
    </row>
    <row r="233" spans="1:8" x14ac:dyDescent="0.25">
      <c r="A233" t="s">
        <v>1122</v>
      </c>
      <c r="B233" t="s">
        <v>757</v>
      </c>
      <c r="C233" t="s">
        <v>758</v>
      </c>
      <c r="D233" t="s">
        <v>14</v>
      </c>
      <c r="E233">
        <v>161425.04</v>
      </c>
      <c r="F233">
        <v>77</v>
      </c>
      <c r="G233">
        <v>12429728.08</v>
      </c>
      <c r="H233" t="s">
        <v>1017</v>
      </c>
    </row>
    <row r="234" spans="1:8" x14ac:dyDescent="0.25">
      <c r="A234" t="s">
        <v>1122</v>
      </c>
      <c r="B234" t="s">
        <v>371</v>
      </c>
      <c r="C234" t="s">
        <v>372</v>
      </c>
      <c r="D234" t="s">
        <v>26</v>
      </c>
      <c r="E234">
        <v>3875755.87</v>
      </c>
      <c r="F234">
        <v>42</v>
      </c>
      <c r="G234">
        <v>162781746.53999999</v>
      </c>
      <c r="H234" t="s">
        <v>1017</v>
      </c>
    </row>
    <row r="235" spans="1:8" x14ac:dyDescent="0.25">
      <c r="A235" t="s">
        <v>1122</v>
      </c>
      <c r="B235" t="s">
        <v>125</v>
      </c>
      <c r="C235" t="s">
        <v>126</v>
      </c>
      <c r="D235" t="s">
        <v>14</v>
      </c>
      <c r="E235">
        <v>370807.87</v>
      </c>
      <c r="F235">
        <v>25</v>
      </c>
      <c r="G235">
        <v>9270196.75</v>
      </c>
      <c r="H235" t="s">
        <v>1017</v>
      </c>
    </row>
    <row r="236" spans="1:8" x14ac:dyDescent="0.25">
      <c r="A236" t="s">
        <v>1122</v>
      </c>
      <c r="B236" t="s">
        <v>55</v>
      </c>
      <c r="C236" t="s">
        <v>56</v>
      </c>
      <c r="D236" t="s">
        <v>14</v>
      </c>
      <c r="E236">
        <v>1013465.46</v>
      </c>
      <c r="F236">
        <v>45</v>
      </c>
      <c r="G236">
        <v>45605945.700000003</v>
      </c>
      <c r="H236" t="s">
        <v>1017</v>
      </c>
    </row>
    <row r="237" spans="1:8" x14ac:dyDescent="0.25">
      <c r="A237" t="s">
        <v>1123</v>
      </c>
      <c r="B237" t="s">
        <v>201</v>
      </c>
      <c r="C237" t="s">
        <v>202</v>
      </c>
      <c r="D237" t="s">
        <v>14</v>
      </c>
      <c r="E237">
        <v>712637.83</v>
      </c>
      <c r="F237">
        <v>63</v>
      </c>
      <c r="G237">
        <v>44896183.289999999</v>
      </c>
      <c r="H237" t="s">
        <v>1017</v>
      </c>
    </row>
    <row r="238" spans="1:8" x14ac:dyDescent="0.25">
      <c r="A238" t="s">
        <v>1123</v>
      </c>
      <c r="B238" t="s">
        <v>895</v>
      </c>
      <c r="C238" t="s">
        <v>896</v>
      </c>
      <c r="D238" t="s">
        <v>26</v>
      </c>
      <c r="E238">
        <v>2558817.06</v>
      </c>
      <c r="F238">
        <v>108</v>
      </c>
      <c r="G238">
        <v>276352242.48000002</v>
      </c>
      <c r="H238" t="s">
        <v>1017</v>
      </c>
    </row>
    <row r="239" spans="1:8" x14ac:dyDescent="0.25">
      <c r="A239" t="s">
        <v>1124</v>
      </c>
      <c r="B239" t="s">
        <v>965</v>
      </c>
      <c r="C239" t="s">
        <v>966</v>
      </c>
      <c r="D239" t="s">
        <v>10</v>
      </c>
      <c r="E239">
        <v>731622.1</v>
      </c>
      <c r="F239">
        <v>6</v>
      </c>
      <c r="G239">
        <v>4389732.5999999996</v>
      </c>
      <c r="H239" t="s">
        <v>1017</v>
      </c>
    </row>
    <row r="240" spans="1:8" x14ac:dyDescent="0.25">
      <c r="A240" t="s">
        <v>1124</v>
      </c>
      <c r="B240" t="s">
        <v>33</v>
      </c>
      <c r="C240" t="s">
        <v>34</v>
      </c>
      <c r="D240" t="s">
        <v>10</v>
      </c>
      <c r="E240">
        <v>253957.99</v>
      </c>
      <c r="F240">
        <v>8</v>
      </c>
      <c r="G240">
        <v>2031663.92</v>
      </c>
      <c r="H240" t="s">
        <v>1017</v>
      </c>
    </row>
    <row r="241" spans="1:8" x14ac:dyDescent="0.25">
      <c r="A241" t="s">
        <v>1125</v>
      </c>
      <c r="B241" t="s">
        <v>603</v>
      </c>
      <c r="C241" t="s">
        <v>604</v>
      </c>
      <c r="D241" t="s">
        <v>10</v>
      </c>
      <c r="E241">
        <v>484952.24</v>
      </c>
      <c r="F241">
        <v>17</v>
      </c>
      <c r="G241">
        <v>8244188.0800000001</v>
      </c>
      <c r="H241" t="s">
        <v>1017</v>
      </c>
    </row>
    <row r="242" spans="1:8" x14ac:dyDescent="0.25">
      <c r="A242" t="s">
        <v>1125</v>
      </c>
      <c r="B242" t="s">
        <v>923</v>
      </c>
      <c r="C242" t="s">
        <v>924</v>
      </c>
      <c r="D242" t="s">
        <v>19</v>
      </c>
      <c r="E242">
        <v>1939471.17</v>
      </c>
      <c r="F242">
        <v>47</v>
      </c>
      <c r="G242">
        <v>91155144.989999995</v>
      </c>
      <c r="H242" t="s">
        <v>1017</v>
      </c>
    </row>
    <row r="243" spans="1:8" x14ac:dyDescent="0.25">
      <c r="A243" t="s">
        <v>1126</v>
      </c>
      <c r="B243" t="s">
        <v>803</v>
      </c>
      <c r="C243" t="s">
        <v>804</v>
      </c>
      <c r="D243" t="s">
        <v>14</v>
      </c>
      <c r="E243">
        <v>98615.11</v>
      </c>
      <c r="F243">
        <v>119</v>
      </c>
      <c r="G243">
        <v>11735198.09</v>
      </c>
      <c r="H243" t="s">
        <v>1017</v>
      </c>
    </row>
    <row r="244" spans="1:8" x14ac:dyDescent="0.25">
      <c r="A244" t="s">
        <v>1126</v>
      </c>
      <c r="B244" t="s">
        <v>855</v>
      </c>
      <c r="C244" t="s">
        <v>856</v>
      </c>
      <c r="D244" t="s">
        <v>14</v>
      </c>
      <c r="E244">
        <v>514782.34</v>
      </c>
      <c r="F244">
        <v>101</v>
      </c>
      <c r="G244">
        <v>51993016.340000004</v>
      </c>
      <c r="H244" t="s">
        <v>1017</v>
      </c>
    </row>
    <row r="245" spans="1:8" x14ac:dyDescent="0.25">
      <c r="A245" t="s">
        <v>1126</v>
      </c>
      <c r="B245" t="s">
        <v>503</v>
      </c>
      <c r="C245" t="s">
        <v>504</v>
      </c>
      <c r="D245" t="s">
        <v>26</v>
      </c>
      <c r="E245">
        <v>2684577.27</v>
      </c>
      <c r="F245">
        <v>31</v>
      </c>
      <c r="G245">
        <v>83221895.370000005</v>
      </c>
      <c r="H245" t="s">
        <v>1017</v>
      </c>
    </row>
    <row r="246" spans="1:8" x14ac:dyDescent="0.25">
      <c r="A246" t="s">
        <v>1127</v>
      </c>
      <c r="B246" t="s">
        <v>549</v>
      </c>
      <c r="C246" t="s">
        <v>550</v>
      </c>
      <c r="D246" t="s">
        <v>10</v>
      </c>
      <c r="E246">
        <v>756855.16</v>
      </c>
      <c r="F246">
        <v>31</v>
      </c>
      <c r="G246">
        <v>23462509.960000001</v>
      </c>
      <c r="H246" t="s">
        <v>1017</v>
      </c>
    </row>
    <row r="247" spans="1:8" x14ac:dyDescent="0.25">
      <c r="A247" t="s">
        <v>1128</v>
      </c>
      <c r="B247" t="s">
        <v>535</v>
      </c>
      <c r="C247" t="s">
        <v>536</v>
      </c>
      <c r="D247" t="s">
        <v>26</v>
      </c>
      <c r="E247">
        <v>1363842.61</v>
      </c>
      <c r="F247">
        <v>58</v>
      </c>
      <c r="G247">
        <v>79102871.379999995</v>
      </c>
      <c r="H247" t="s">
        <v>1017</v>
      </c>
    </row>
    <row r="248" spans="1:8" x14ac:dyDescent="0.25">
      <c r="A248" t="s">
        <v>1129</v>
      </c>
      <c r="B248" t="s">
        <v>707</v>
      </c>
      <c r="C248" t="s">
        <v>708</v>
      </c>
      <c r="D248" t="s">
        <v>14</v>
      </c>
      <c r="E248">
        <v>533041.74</v>
      </c>
      <c r="F248">
        <v>110</v>
      </c>
      <c r="G248">
        <v>58634591.399999999</v>
      </c>
      <c r="H248" t="s">
        <v>1017</v>
      </c>
    </row>
    <row r="249" spans="1:8" x14ac:dyDescent="0.25">
      <c r="A249" t="s">
        <v>1130</v>
      </c>
      <c r="B249" t="s">
        <v>601</v>
      </c>
      <c r="C249" t="s">
        <v>602</v>
      </c>
      <c r="D249" t="s">
        <v>14</v>
      </c>
      <c r="E249">
        <v>631953.53</v>
      </c>
      <c r="F249">
        <v>98</v>
      </c>
      <c r="G249">
        <v>61931445.939999998</v>
      </c>
      <c r="H249" t="s">
        <v>1017</v>
      </c>
    </row>
    <row r="250" spans="1:8" x14ac:dyDescent="0.25">
      <c r="A250" t="s">
        <v>1130</v>
      </c>
      <c r="B250" t="s">
        <v>663</v>
      </c>
      <c r="C250" t="s">
        <v>664</v>
      </c>
      <c r="D250" t="s">
        <v>10</v>
      </c>
      <c r="E250">
        <v>1442614.79</v>
      </c>
      <c r="F250">
        <v>108</v>
      </c>
      <c r="G250">
        <v>155802397.31999999</v>
      </c>
      <c r="H250" t="s">
        <v>1017</v>
      </c>
    </row>
    <row r="251" spans="1:8" x14ac:dyDescent="0.25">
      <c r="A251" t="s">
        <v>1130</v>
      </c>
      <c r="B251" t="s">
        <v>241</v>
      </c>
      <c r="C251" t="s">
        <v>242</v>
      </c>
      <c r="D251" t="s">
        <v>14</v>
      </c>
      <c r="E251">
        <v>1006327.24</v>
      </c>
      <c r="F251">
        <v>109</v>
      </c>
      <c r="G251">
        <v>109689669.16</v>
      </c>
      <c r="H251" t="s">
        <v>1017</v>
      </c>
    </row>
    <row r="252" spans="1:8" x14ac:dyDescent="0.25">
      <c r="A252" t="s">
        <v>1131</v>
      </c>
      <c r="B252" t="s">
        <v>239</v>
      </c>
      <c r="C252" t="s">
        <v>240</v>
      </c>
      <c r="D252" t="s">
        <v>10</v>
      </c>
      <c r="E252">
        <v>890657.12</v>
      </c>
      <c r="F252">
        <v>26</v>
      </c>
      <c r="G252">
        <v>23157085.120000001</v>
      </c>
      <c r="H252" t="s">
        <v>1017</v>
      </c>
    </row>
    <row r="253" spans="1:8" x14ac:dyDescent="0.25">
      <c r="A253" t="s">
        <v>1131</v>
      </c>
      <c r="B253" t="s">
        <v>317</v>
      </c>
      <c r="C253" t="s">
        <v>318</v>
      </c>
      <c r="D253" t="s">
        <v>26</v>
      </c>
      <c r="E253">
        <v>2035927.9</v>
      </c>
      <c r="F253">
        <v>101</v>
      </c>
      <c r="G253">
        <v>205628717.90000001</v>
      </c>
      <c r="H253" t="s">
        <v>1017</v>
      </c>
    </row>
    <row r="254" spans="1:8" x14ac:dyDescent="0.25">
      <c r="A254" t="s">
        <v>1131</v>
      </c>
      <c r="B254" t="s">
        <v>153</v>
      </c>
      <c r="C254" t="s">
        <v>154</v>
      </c>
      <c r="D254" t="s">
        <v>14</v>
      </c>
      <c r="E254">
        <v>787075.4</v>
      </c>
      <c r="F254">
        <v>57</v>
      </c>
      <c r="G254">
        <v>44863297.799999997</v>
      </c>
      <c r="H254" t="s">
        <v>1017</v>
      </c>
    </row>
    <row r="255" spans="1:8" x14ac:dyDescent="0.25">
      <c r="A255" t="s">
        <v>1132</v>
      </c>
      <c r="B255" t="s">
        <v>157</v>
      </c>
      <c r="C255" t="s">
        <v>158</v>
      </c>
      <c r="D255" t="s">
        <v>19</v>
      </c>
      <c r="E255">
        <v>647755.18999999994</v>
      </c>
      <c r="F255">
        <v>66</v>
      </c>
      <c r="G255">
        <v>42751842.539999999</v>
      </c>
      <c r="H255" t="s">
        <v>1017</v>
      </c>
    </row>
    <row r="256" spans="1:8" x14ac:dyDescent="0.25">
      <c r="A256" t="s">
        <v>1133</v>
      </c>
      <c r="B256" t="s">
        <v>51</v>
      </c>
      <c r="C256" t="s">
        <v>52</v>
      </c>
      <c r="D256" t="s">
        <v>14</v>
      </c>
      <c r="E256">
        <v>359874.9</v>
      </c>
      <c r="F256">
        <v>15</v>
      </c>
      <c r="G256">
        <v>5398123.5</v>
      </c>
      <c r="H256" t="s">
        <v>1017</v>
      </c>
    </row>
    <row r="257" spans="1:8" x14ac:dyDescent="0.25">
      <c r="A257" t="s">
        <v>1133</v>
      </c>
      <c r="B257" t="s">
        <v>8</v>
      </c>
      <c r="C257" t="s">
        <v>9</v>
      </c>
      <c r="D257" t="s">
        <v>10</v>
      </c>
      <c r="E257">
        <v>983315.62</v>
      </c>
      <c r="F257">
        <v>11</v>
      </c>
      <c r="G257">
        <v>10816471.82</v>
      </c>
      <c r="H257" t="s">
        <v>1017</v>
      </c>
    </row>
    <row r="258" spans="1:8" x14ac:dyDescent="0.25">
      <c r="A258" t="s">
        <v>1133</v>
      </c>
      <c r="B258" t="s">
        <v>91</v>
      </c>
      <c r="C258" t="s">
        <v>92</v>
      </c>
      <c r="D258" t="s">
        <v>10</v>
      </c>
      <c r="E258">
        <v>1168680.05</v>
      </c>
      <c r="F258">
        <v>10</v>
      </c>
      <c r="G258">
        <v>11686800.5</v>
      </c>
      <c r="H258" t="s">
        <v>1017</v>
      </c>
    </row>
    <row r="259" spans="1:8" x14ac:dyDescent="0.25">
      <c r="A259" t="s">
        <v>1134</v>
      </c>
      <c r="B259" t="s">
        <v>843</v>
      </c>
      <c r="C259" t="s">
        <v>844</v>
      </c>
      <c r="D259" t="s">
        <v>26</v>
      </c>
      <c r="E259">
        <v>2132906.7200000002</v>
      </c>
      <c r="F259">
        <v>120</v>
      </c>
      <c r="G259">
        <v>255948806.40000001</v>
      </c>
      <c r="H259" t="s">
        <v>1017</v>
      </c>
    </row>
    <row r="260" spans="1:8" x14ac:dyDescent="0.25">
      <c r="A260" t="s">
        <v>1134</v>
      </c>
      <c r="B260" t="s">
        <v>885</v>
      </c>
      <c r="C260" t="s">
        <v>886</v>
      </c>
      <c r="D260" t="s">
        <v>10</v>
      </c>
      <c r="E260">
        <v>1470841.13</v>
      </c>
      <c r="F260">
        <v>70</v>
      </c>
      <c r="G260">
        <v>102958879.09999999</v>
      </c>
      <c r="H260" t="s">
        <v>1017</v>
      </c>
    </row>
    <row r="261" spans="1:8" x14ac:dyDescent="0.25">
      <c r="A261" t="s">
        <v>1134</v>
      </c>
      <c r="B261" t="s">
        <v>81</v>
      </c>
      <c r="C261" t="s">
        <v>82</v>
      </c>
      <c r="D261" t="s">
        <v>14</v>
      </c>
      <c r="E261">
        <v>537624.02</v>
      </c>
      <c r="F261">
        <v>46</v>
      </c>
      <c r="G261">
        <v>24730704.920000002</v>
      </c>
      <c r="H261" t="s">
        <v>1017</v>
      </c>
    </row>
    <row r="262" spans="1:8" x14ac:dyDescent="0.25">
      <c r="A262" t="s">
        <v>1134</v>
      </c>
      <c r="B262" t="s">
        <v>755</v>
      </c>
      <c r="C262" t="s">
        <v>756</v>
      </c>
      <c r="D262" t="s">
        <v>14</v>
      </c>
      <c r="E262">
        <v>323720.51</v>
      </c>
      <c r="F262">
        <v>108</v>
      </c>
      <c r="G262">
        <v>34961815.079999998</v>
      </c>
      <c r="H262" t="s">
        <v>1017</v>
      </c>
    </row>
    <row r="263" spans="1:8" x14ac:dyDescent="0.25">
      <c r="A263" t="s">
        <v>1135</v>
      </c>
      <c r="B263" t="s">
        <v>131</v>
      </c>
      <c r="C263" t="s">
        <v>132</v>
      </c>
      <c r="D263" t="s">
        <v>26</v>
      </c>
      <c r="E263">
        <v>2296812</v>
      </c>
      <c r="F263">
        <v>36</v>
      </c>
      <c r="G263">
        <v>82685232</v>
      </c>
      <c r="H263" t="s">
        <v>1017</v>
      </c>
    </row>
    <row r="264" spans="1:8" x14ac:dyDescent="0.25">
      <c r="A264" t="s">
        <v>1135</v>
      </c>
      <c r="B264" t="s">
        <v>497</v>
      </c>
      <c r="C264" t="s">
        <v>498</v>
      </c>
      <c r="D264" t="s">
        <v>26</v>
      </c>
      <c r="E264">
        <v>518306.01</v>
      </c>
      <c r="F264">
        <v>36</v>
      </c>
      <c r="G264">
        <v>18659016.359999999</v>
      </c>
      <c r="H264" t="s">
        <v>1017</v>
      </c>
    </row>
    <row r="265" spans="1:8" x14ac:dyDescent="0.25">
      <c r="A265" t="s">
        <v>1136</v>
      </c>
      <c r="B265" t="s">
        <v>67</v>
      </c>
      <c r="C265" t="s">
        <v>68</v>
      </c>
      <c r="D265" t="s">
        <v>19</v>
      </c>
      <c r="E265">
        <v>437380.9</v>
      </c>
      <c r="F265">
        <v>4</v>
      </c>
      <c r="G265">
        <v>1749523.6</v>
      </c>
      <c r="H265" t="s">
        <v>1017</v>
      </c>
    </row>
    <row r="266" spans="1:8" x14ac:dyDescent="0.25">
      <c r="A266" t="s">
        <v>1136</v>
      </c>
      <c r="B266" t="s">
        <v>505</v>
      </c>
      <c r="C266" t="s">
        <v>506</v>
      </c>
      <c r="D266" t="s">
        <v>14</v>
      </c>
      <c r="E266">
        <v>895226.97</v>
      </c>
      <c r="F266">
        <v>5</v>
      </c>
      <c r="G266">
        <v>4476134.8499999996</v>
      </c>
      <c r="H266" t="s">
        <v>1017</v>
      </c>
    </row>
    <row r="267" spans="1:8" x14ac:dyDescent="0.25">
      <c r="A267" t="s">
        <v>1137</v>
      </c>
      <c r="B267" t="s">
        <v>261</v>
      </c>
      <c r="C267" t="s">
        <v>262</v>
      </c>
      <c r="D267" t="s">
        <v>10</v>
      </c>
      <c r="E267">
        <v>1420059.03</v>
      </c>
      <c r="F267">
        <v>82</v>
      </c>
      <c r="G267">
        <v>116444840.45999999</v>
      </c>
      <c r="H267" t="s">
        <v>1017</v>
      </c>
    </row>
    <row r="268" spans="1:8" x14ac:dyDescent="0.25">
      <c r="A268" t="s">
        <v>1137</v>
      </c>
      <c r="B268" t="s">
        <v>77</v>
      </c>
      <c r="C268" t="s">
        <v>78</v>
      </c>
      <c r="D268" t="s">
        <v>10</v>
      </c>
      <c r="E268">
        <v>640550.67000000004</v>
      </c>
      <c r="F268">
        <v>15</v>
      </c>
      <c r="G268">
        <v>9608260.0500000007</v>
      </c>
      <c r="H268" t="s">
        <v>1017</v>
      </c>
    </row>
    <row r="269" spans="1:8" x14ac:dyDescent="0.25">
      <c r="A269" t="s">
        <v>1138</v>
      </c>
      <c r="B269" t="s">
        <v>721</v>
      </c>
      <c r="C269" t="s">
        <v>722</v>
      </c>
      <c r="D269" t="s">
        <v>10</v>
      </c>
      <c r="E269">
        <v>843321.54</v>
      </c>
      <c r="F269">
        <v>98</v>
      </c>
      <c r="G269">
        <v>82645510.920000002</v>
      </c>
      <c r="H269" t="s">
        <v>1017</v>
      </c>
    </row>
    <row r="270" spans="1:8" x14ac:dyDescent="0.25">
      <c r="A270" t="s">
        <v>1138</v>
      </c>
      <c r="B270" t="s">
        <v>209</v>
      </c>
      <c r="C270" t="s">
        <v>210</v>
      </c>
      <c r="D270" t="s">
        <v>10</v>
      </c>
      <c r="E270">
        <v>972599.47</v>
      </c>
      <c r="F270">
        <v>25</v>
      </c>
      <c r="G270">
        <v>24314986.75</v>
      </c>
      <c r="H270" t="s">
        <v>1017</v>
      </c>
    </row>
    <row r="271" spans="1:8" x14ac:dyDescent="0.25">
      <c r="A271" t="s">
        <v>1138</v>
      </c>
      <c r="B271" t="s">
        <v>57</v>
      </c>
      <c r="C271" t="s">
        <v>58</v>
      </c>
      <c r="D271" t="s">
        <v>19</v>
      </c>
      <c r="E271">
        <v>1024323.53</v>
      </c>
      <c r="F271">
        <v>83</v>
      </c>
      <c r="G271">
        <v>85018852.989999995</v>
      </c>
      <c r="H271" t="s">
        <v>1017</v>
      </c>
    </row>
    <row r="272" spans="1:8" x14ac:dyDescent="0.25">
      <c r="A272" t="s">
        <v>1138</v>
      </c>
      <c r="B272" t="s">
        <v>363</v>
      </c>
      <c r="C272" t="s">
        <v>364</v>
      </c>
      <c r="D272" t="s">
        <v>14</v>
      </c>
      <c r="E272">
        <v>381738.45</v>
      </c>
      <c r="F272">
        <v>54</v>
      </c>
      <c r="G272">
        <v>20613876.300000001</v>
      </c>
      <c r="H272" t="s">
        <v>1017</v>
      </c>
    </row>
    <row r="273" spans="1:8" x14ac:dyDescent="0.25">
      <c r="A273" t="s">
        <v>1138</v>
      </c>
      <c r="B273" t="s">
        <v>111</v>
      </c>
      <c r="C273" t="s">
        <v>112</v>
      </c>
      <c r="D273" t="s">
        <v>19</v>
      </c>
      <c r="E273">
        <v>641491.54</v>
      </c>
      <c r="F273">
        <v>63</v>
      </c>
      <c r="G273">
        <v>40413967.020000003</v>
      </c>
      <c r="H273" t="s">
        <v>1017</v>
      </c>
    </row>
    <row r="274" spans="1:8" x14ac:dyDescent="0.25">
      <c r="A274" t="s">
        <v>1139</v>
      </c>
      <c r="B274" t="s">
        <v>263</v>
      </c>
      <c r="C274" t="s">
        <v>264</v>
      </c>
      <c r="D274" t="s">
        <v>14</v>
      </c>
      <c r="E274">
        <v>892845.92</v>
      </c>
      <c r="F274">
        <v>91</v>
      </c>
      <c r="G274">
        <v>81248978.719999999</v>
      </c>
      <c r="H274" t="s">
        <v>1017</v>
      </c>
    </row>
    <row r="275" spans="1:8" x14ac:dyDescent="0.25">
      <c r="A275" t="s">
        <v>1139</v>
      </c>
      <c r="B275" t="s">
        <v>223</v>
      </c>
      <c r="C275" t="s">
        <v>224</v>
      </c>
      <c r="D275" t="s">
        <v>26</v>
      </c>
      <c r="E275">
        <v>2611505</v>
      </c>
      <c r="F275">
        <v>106</v>
      </c>
      <c r="G275">
        <v>276819530</v>
      </c>
      <c r="H275" t="s">
        <v>1017</v>
      </c>
    </row>
    <row r="276" spans="1:8" x14ac:dyDescent="0.25">
      <c r="A276" t="s">
        <v>1139</v>
      </c>
      <c r="B276" t="s">
        <v>203</v>
      </c>
      <c r="C276" t="s">
        <v>204</v>
      </c>
      <c r="D276" t="s">
        <v>10</v>
      </c>
      <c r="E276">
        <v>1189149.6499999999</v>
      </c>
      <c r="F276">
        <v>41</v>
      </c>
      <c r="G276">
        <v>48755135.649999999</v>
      </c>
      <c r="H276" t="s">
        <v>1017</v>
      </c>
    </row>
    <row r="277" spans="1:8" x14ac:dyDescent="0.25">
      <c r="A277" t="s">
        <v>1140</v>
      </c>
      <c r="B277" t="s">
        <v>561</v>
      </c>
      <c r="C277" t="s">
        <v>562</v>
      </c>
      <c r="D277" t="s">
        <v>19</v>
      </c>
      <c r="E277">
        <v>1571143.25</v>
      </c>
      <c r="F277">
        <v>87</v>
      </c>
      <c r="G277">
        <v>136689462.75</v>
      </c>
      <c r="H277" t="s">
        <v>1017</v>
      </c>
    </row>
    <row r="278" spans="1:8" x14ac:dyDescent="0.25">
      <c r="A278" t="s">
        <v>1141</v>
      </c>
      <c r="B278" t="s">
        <v>781</v>
      </c>
      <c r="C278" t="s">
        <v>782</v>
      </c>
      <c r="D278" t="s">
        <v>14</v>
      </c>
      <c r="E278">
        <v>1135795.27</v>
      </c>
      <c r="F278">
        <v>102</v>
      </c>
      <c r="G278">
        <v>115851117.54000001</v>
      </c>
      <c r="H278" t="s">
        <v>1017</v>
      </c>
    </row>
    <row r="279" spans="1:8" x14ac:dyDescent="0.25">
      <c r="A279" t="s">
        <v>1141</v>
      </c>
      <c r="B279" t="s">
        <v>505</v>
      </c>
      <c r="C279" t="s">
        <v>506</v>
      </c>
      <c r="D279" t="s">
        <v>14</v>
      </c>
      <c r="E279">
        <v>958080.38</v>
      </c>
      <c r="F279">
        <v>25</v>
      </c>
      <c r="G279">
        <v>23952009.5</v>
      </c>
      <c r="H279" t="s">
        <v>1017</v>
      </c>
    </row>
    <row r="280" spans="1:8" x14ac:dyDescent="0.25">
      <c r="A280" t="s">
        <v>1142</v>
      </c>
      <c r="B280" t="s">
        <v>311</v>
      </c>
      <c r="C280" t="s">
        <v>312</v>
      </c>
      <c r="D280" t="s">
        <v>26</v>
      </c>
      <c r="E280">
        <v>1695268.51</v>
      </c>
      <c r="F280">
        <v>74</v>
      </c>
      <c r="G280">
        <v>125449869.73999999</v>
      </c>
      <c r="H280" t="s">
        <v>1017</v>
      </c>
    </row>
    <row r="281" spans="1:8" x14ac:dyDescent="0.25">
      <c r="A281" t="s">
        <v>1143</v>
      </c>
      <c r="B281" t="s">
        <v>749</v>
      </c>
      <c r="C281" t="s">
        <v>750</v>
      </c>
      <c r="D281" t="s">
        <v>19</v>
      </c>
      <c r="E281">
        <v>233867.98</v>
      </c>
      <c r="F281">
        <v>53</v>
      </c>
      <c r="G281">
        <v>12395002.939999999</v>
      </c>
      <c r="H281" t="s">
        <v>1017</v>
      </c>
    </row>
    <row r="282" spans="1:8" x14ac:dyDescent="0.25">
      <c r="A282" t="s">
        <v>1144</v>
      </c>
      <c r="B282" t="s">
        <v>439</v>
      </c>
      <c r="C282" t="s">
        <v>440</v>
      </c>
      <c r="D282" t="s">
        <v>14</v>
      </c>
      <c r="E282">
        <v>1070009.25</v>
      </c>
      <c r="F282">
        <v>48</v>
      </c>
      <c r="G282">
        <v>51360444</v>
      </c>
      <c r="H282" t="s">
        <v>1017</v>
      </c>
    </row>
    <row r="283" spans="1:8" x14ac:dyDescent="0.25">
      <c r="A283" t="s">
        <v>1145</v>
      </c>
      <c r="B283" t="s">
        <v>887</v>
      </c>
      <c r="C283" t="s">
        <v>888</v>
      </c>
      <c r="D283" t="s">
        <v>19</v>
      </c>
      <c r="E283">
        <v>376805.54</v>
      </c>
      <c r="F283">
        <v>36</v>
      </c>
      <c r="G283">
        <v>13564999.439999999</v>
      </c>
      <c r="H283" t="s">
        <v>1017</v>
      </c>
    </row>
    <row r="284" spans="1:8" x14ac:dyDescent="0.25">
      <c r="A284" t="s">
        <v>1145</v>
      </c>
      <c r="B284" t="s">
        <v>657</v>
      </c>
      <c r="C284" t="s">
        <v>658</v>
      </c>
      <c r="D284" t="s">
        <v>19</v>
      </c>
      <c r="E284">
        <v>862239.01</v>
      </c>
      <c r="F284">
        <v>101</v>
      </c>
      <c r="G284">
        <v>87086140.010000005</v>
      </c>
      <c r="H284" t="s">
        <v>1017</v>
      </c>
    </row>
    <row r="285" spans="1:8" x14ac:dyDescent="0.25">
      <c r="A285" t="s">
        <v>1146</v>
      </c>
      <c r="B285" t="s">
        <v>797</v>
      </c>
      <c r="C285" t="s">
        <v>798</v>
      </c>
      <c r="D285" t="s">
        <v>19</v>
      </c>
      <c r="E285">
        <v>1870593.59</v>
      </c>
      <c r="F285">
        <v>11</v>
      </c>
      <c r="G285">
        <v>20576529.489999998</v>
      </c>
      <c r="H285" t="s">
        <v>1017</v>
      </c>
    </row>
    <row r="286" spans="1:8" x14ac:dyDescent="0.25">
      <c r="A286" t="s">
        <v>1147</v>
      </c>
      <c r="B286" t="s">
        <v>415</v>
      </c>
      <c r="C286" t="s">
        <v>416</v>
      </c>
      <c r="D286" t="s">
        <v>19</v>
      </c>
      <c r="E286">
        <v>746225.2</v>
      </c>
      <c r="F286">
        <v>80</v>
      </c>
      <c r="G286">
        <v>59698016</v>
      </c>
      <c r="H286" t="s">
        <v>1017</v>
      </c>
    </row>
    <row r="287" spans="1:8" x14ac:dyDescent="0.25">
      <c r="A287" t="s">
        <v>1147</v>
      </c>
      <c r="B287" t="s">
        <v>833</v>
      </c>
      <c r="C287" t="s">
        <v>834</v>
      </c>
      <c r="D287" t="s">
        <v>19</v>
      </c>
      <c r="E287">
        <v>537688.84</v>
      </c>
      <c r="F287">
        <v>42</v>
      </c>
      <c r="G287">
        <v>22582931.280000001</v>
      </c>
      <c r="H287" t="s">
        <v>1017</v>
      </c>
    </row>
    <row r="288" spans="1:8" x14ac:dyDescent="0.25">
      <c r="A288" t="s">
        <v>1148</v>
      </c>
      <c r="B288" t="s">
        <v>457</v>
      </c>
      <c r="C288" t="s">
        <v>458</v>
      </c>
      <c r="D288" t="s">
        <v>26</v>
      </c>
      <c r="E288">
        <v>531301.79</v>
      </c>
      <c r="F288">
        <v>45</v>
      </c>
      <c r="G288">
        <v>23908580.550000001</v>
      </c>
      <c r="H288" t="s">
        <v>1017</v>
      </c>
    </row>
    <row r="289" spans="1:8" x14ac:dyDescent="0.25">
      <c r="A289" t="s">
        <v>1149</v>
      </c>
      <c r="B289" t="s">
        <v>413</v>
      </c>
      <c r="C289" t="s">
        <v>414</v>
      </c>
      <c r="D289" t="s">
        <v>14</v>
      </c>
      <c r="E289">
        <v>988779.31</v>
      </c>
      <c r="F289">
        <v>88</v>
      </c>
      <c r="G289">
        <v>87012579.280000001</v>
      </c>
      <c r="H289" t="s">
        <v>1017</v>
      </c>
    </row>
    <row r="290" spans="1:8" x14ac:dyDescent="0.25">
      <c r="A290" t="s">
        <v>1149</v>
      </c>
      <c r="B290" t="s">
        <v>589</v>
      </c>
      <c r="C290" t="s">
        <v>590</v>
      </c>
      <c r="D290" t="s">
        <v>26</v>
      </c>
      <c r="E290">
        <v>1422972.09</v>
      </c>
      <c r="F290">
        <v>71</v>
      </c>
      <c r="G290">
        <v>101031018.39</v>
      </c>
      <c r="H290" t="s">
        <v>1017</v>
      </c>
    </row>
    <row r="291" spans="1:8" x14ac:dyDescent="0.25">
      <c r="A291" t="s">
        <v>1149</v>
      </c>
      <c r="B291" t="s">
        <v>113</v>
      </c>
      <c r="C291" t="s">
        <v>114</v>
      </c>
      <c r="D291" t="s">
        <v>19</v>
      </c>
      <c r="E291">
        <v>412659.56</v>
      </c>
      <c r="F291">
        <v>8</v>
      </c>
      <c r="G291">
        <v>3301276.48</v>
      </c>
      <c r="H291" t="s">
        <v>1017</v>
      </c>
    </row>
    <row r="292" spans="1:8" x14ac:dyDescent="0.25">
      <c r="A292" t="s">
        <v>1150</v>
      </c>
      <c r="B292" t="s">
        <v>755</v>
      </c>
      <c r="C292" t="s">
        <v>756</v>
      </c>
      <c r="D292" t="s">
        <v>14</v>
      </c>
      <c r="E292">
        <v>361102.02</v>
      </c>
      <c r="F292">
        <v>49</v>
      </c>
      <c r="G292">
        <v>17693998.98</v>
      </c>
      <c r="H292" t="s">
        <v>1017</v>
      </c>
    </row>
    <row r="293" spans="1:8" x14ac:dyDescent="0.25">
      <c r="A293" t="s">
        <v>1150</v>
      </c>
      <c r="B293" t="s">
        <v>723</v>
      </c>
      <c r="C293" t="s">
        <v>724</v>
      </c>
      <c r="D293" t="s">
        <v>26</v>
      </c>
      <c r="E293">
        <v>3833874.43</v>
      </c>
      <c r="F293">
        <v>83</v>
      </c>
      <c r="G293">
        <v>318211577.69</v>
      </c>
      <c r="H293" t="s">
        <v>1017</v>
      </c>
    </row>
    <row r="294" spans="1:8" x14ac:dyDescent="0.25">
      <c r="A294" t="s">
        <v>1151</v>
      </c>
      <c r="B294" t="s">
        <v>567</v>
      </c>
      <c r="C294" t="s">
        <v>568</v>
      </c>
      <c r="D294" t="s">
        <v>26</v>
      </c>
      <c r="E294">
        <v>572042.14</v>
      </c>
      <c r="F294">
        <v>107</v>
      </c>
      <c r="G294">
        <v>61208508.979999997</v>
      </c>
      <c r="H294" t="s">
        <v>1017</v>
      </c>
    </row>
    <row r="295" spans="1:8" x14ac:dyDescent="0.25">
      <c r="A295" t="s">
        <v>1152</v>
      </c>
      <c r="B295" t="s">
        <v>449</v>
      </c>
      <c r="C295" t="s">
        <v>450</v>
      </c>
      <c r="D295" t="s">
        <v>26</v>
      </c>
      <c r="E295">
        <v>1410182.01</v>
      </c>
      <c r="F295">
        <v>115</v>
      </c>
      <c r="G295">
        <v>162170931.15000001</v>
      </c>
      <c r="H295" t="s">
        <v>1017</v>
      </c>
    </row>
    <row r="296" spans="1:8" x14ac:dyDescent="0.25">
      <c r="A296" t="s">
        <v>1152</v>
      </c>
      <c r="B296" t="s">
        <v>943</v>
      </c>
      <c r="C296" t="s">
        <v>944</v>
      </c>
      <c r="D296" t="s">
        <v>10</v>
      </c>
      <c r="E296">
        <v>1377511.03</v>
      </c>
      <c r="F296">
        <v>9</v>
      </c>
      <c r="G296">
        <v>12397599.27</v>
      </c>
      <c r="H296" t="s">
        <v>1017</v>
      </c>
    </row>
    <row r="297" spans="1:8" x14ac:dyDescent="0.25">
      <c r="A297" t="s">
        <v>1152</v>
      </c>
      <c r="B297" t="s">
        <v>553</v>
      </c>
      <c r="C297" t="s">
        <v>554</v>
      </c>
      <c r="D297" t="s">
        <v>19</v>
      </c>
      <c r="E297">
        <v>125300.52</v>
      </c>
      <c r="F297">
        <v>76</v>
      </c>
      <c r="G297">
        <v>9522839.5199999996</v>
      </c>
      <c r="H297" t="s">
        <v>1017</v>
      </c>
    </row>
    <row r="298" spans="1:8" x14ac:dyDescent="0.25">
      <c r="A298" t="s">
        <v>1152</v>
      </c>
      <c r="B298" t="s">
        <v>29</v>
      </c>
      <c r="C298" t="s">
        <v>30</v>
      </c>
      <c r="D298" t="s">
        <v>26</v>
      </c>
      <c r="E298">
        <v>506474.33</v>
      </c>
      <c r="F298">
        <v>73</v>
      </c>
      <c r="G298">
        <v>36972626.090000004</v>
      </c>
      <c r="H298" t="s">
        <v>1017</v>
      </c>
    </row>
    <row r="299" spans="1:8" x14ac:dyDescent="0.25">
      <c r="A299" t="s">
        <v>1153</v>
      </c>
      <c r="B299" t="s">
        <v>903</v>
      </c>
      <c r="C299" t="s">
        <v>904</v>
      </c>
      <c r="D299" t="s">
        <v>26</v>
      </c>
      <c r="E299">
        <v>446035.48</v>
      </c>
      <c r="F299">
        <v>1</v>
      </c>
      <c r="G299">
        <v>446035.48</v>
      </c>
      <c r="H299" t="s">
        <v>1017</v>
      </c>
    </row>
    <row r="300" spans="1:8" x14ac:dyDescent="0.25">
      <c r="A300" t="s">
        <v>1153</v>
      </c>
      <c r="B300" t="s">
        <v>153</v>
      </c>
      <c r="C300" t="s">
        <v>154</v>
      </c>
      <c r="D300" t="s">
        <v>14</v>
      </c>
      <c r="E300">
        <v>706579.53</v>
      </c>
      <c r="F300">
        <v>29</v>
      </c>
      <c r="G300">
        <v>20490806.370000001</v>
      </c>
      <c r="H300" t="s">
        <v>1017</v>
      </c>
    </row>
    <row r="301" spans="1:8" x14ac:dyDescent="0.25">
      <c r="A301" t="s">
        <v>1154</v>
      </c>
      <c r="B301" t="s">
        <v>777</v>
      </c>
      <c r="C301" t="s">
        <v>778</v>
      </c>
      <c r="D301" t="s">
        <v>26</v>
      </c>
      <c r="E301">
        <v>2718903.37</v>
      </c>
      <c r="F301">
        <v>106</v>
      </c>
      <c r="G301">
        <v>288203757.22000003</v>
      </c>
      <c r="H301" t="s">
        <v>1017</v>
      </c>
    </row>
    <row r="302" spans="1:8" x14ac:dyDescent="0.25">
      <c r="A302" t="s">
        <v>1155</v>
      </c>
      <c r="B302" t="s">
        <v>777</v>
      </c>
      <c r="C302" t="s">
        <v>778</v>
      </c>
      <c r="D302" t="s">
        <v>26</v>
      </c>
      <c r="E302">
        <v>2601893.0099999998</v>
      </c>
      <c r="F302">
        <v>8</v>
      </c>
      <c r="G302">
        <v>20815144.079999998</v>
      </c>
      <c r="H302" t="s">
        <v>1017</v>
      </c>
    </row>
    <row r="303" spans="1:8" x14ac:dyDescent="0.25">
      <c r="A303" t="s">
        <v>1155</v>
      </c>
      <c r="B303" t="s">
        <v>187</v>
      </c>
      <c r="C303" t="s">
        <v>188</v>
      </c>
      <c r="D303" t="s">
        <v>19</v>
      </c>
      <c r="E303">
        <v>617632.36</v>
      </c>
      <c r="F303">
        <v>96</v>
      </c>
      <c r="G303">
        <v>59292706.560000002</v>
      </c>
      <c r="H303" t="s">
        <v>1017</v>
      </c>
    </row>
    <row r="304" spans="1:8" x14ac:dyDescent="0.25">
      <c r="A304" t="s">
        <v>1155</v>
      </c>
      <c r="B304" t="s">
        <v>129</v>
      </c>
      <c r="C304" t="s">
        <v>130</v>
      </c>
      <c r="D304" t="s">
        <v>26</v>
      </c>
      <c r="E304">
        <v>3226124.12</v>
      </c>
      <c r="F304">
        <v>17</v>
      </c>
      <c r="G304">
        <v>54844110.039999999</v>
      </c>
      <c r="H304" t="s">
        <v>1017</v>
      </c>
    </row>
    <row r="305" spans="1:8" x14ac:dyDescent="0.25">
      <c r="A305" t="s">
        <v>1155</v>
      </c>
      <c r="B305" t="s">
        <v>163</v>
      </c>
      <c r="C305" t="s">
        <v>164</v>
      </c>
      <c r="D305" t="s">
        <v>26</v>
      </c>
      <c r="E305">
        <v>1648024.67</v>
      </c>
      <c r="F305">
        <v>18</v>
      </c>
      <c r="G305">
        <v>29664444.059999999</v>
      </c>
      <c r="H305" t="s">
        <v>1017</v>
      </c>
    </row>
    <row r="306" spans="1:8" x14ac:dyDescent="0.25">
      <c r="A306" t="s">
        <v>1156</v>
      </c>
      <c r="B306" t="s">
        <v>565</v>
      </c>
      <c r="C306" t="s">
        <v>566</v>
      </c>
      <c r="D306" t="s">
        <v>26</v>
      </c>
      <c r="E306">
        <v>849089.73</v>
      </c>
      <c r="F306">
        <v>107</v>
      </c>
      <c r="G306">
        <v>90852601.109999999</v>
      </c>
      <c r="H306" t="s">
        <v>1017</v>
      </c>
    </row>
    <row r="307" spans="1:8" x14ac:dyDescent="0.25">
      <c r="A307" t="s">
        <v>1156</v>
      </c>
      <c r="B307" t="s">
        <v>119</v>
      </c>
      <c r="C307" t="s">
        <v>120</v>
      </c>
      <c r="D307" t="s">
        <v>10</v>
      </c>
      <c r="E307">
        <v>324917.95</v>
      </c>
      <c r="F307">
        <v>54</v>
      </c>
      <c r="G307">
        <v>17545569.300000001</v>
      </c>
      <c r="H307" t="s">
        <v>1017</v>
      </c>
    </row>
    <row r="308" spans="1:8" x14ac:dyDescent="0.25">
      <c r="A308" t="s">
        <v>1156</v>
      </c>
      <c r="B308" t="s">
        <v>771</v>
      </c>
      <c r="C308" t="s">
        <v>772</v>
      </c>
      <c r="D308" t="s">
        <v>26</v>
      </c>
      <c r="E308">
        <v>3699753.75</v>
      </c>
      <c r="F308">
        <v>65</v>
      </c>
      <c r="G308">
        <v>240483993.75</v>
      </c>
      <c r="H308" t="s">
        <v>1017</v>
      </c>
    </row>
    <row r="309" spans="1:8" x14ac:dyDescent="0.25">
      <c r="A309" t="s">
        <v>1156</v>
      </c>
      <c r="B309" t="s">
        <v>269</v>
      </c>
      <c r="C309" t="s">
        <v>270</v>
      </c>
      <c r="D309" t="s">
        <v>26</v>
      </c>
      <c r="E309">
        <v>3770209.35</v>
      </c>
      <c r="F309">
        <v>102</v>
      </c>
      <c r="G309">
        <v>384561353.69999999</v>
      </c>
      <c r="H309" t="s">
        <v>1017</v>
      </c>
    </row>
    <row r="310" spans="1:8" x14ac:dyDescent="0.25">
      <c r="A310" t="s">
        <v>1156</v>
      </c>
      <c r="B310" t="s">
        <v>341</v>
      </c>
      <c r="C310" t="s">
        <v>342</v>
      </c>
      <c r="D310" t="s">
        <v>10</v>
      </c>
      <c r="E310">
        <v>601370.24</v>
      </c>
      <c r="F310">
        <v>98</v>
      </c>
      <c r="G310">
        <v>58934283.520000003</v>
      </c>
      <c r="H310" t="s">
        <v>1017</v>
      </c>
    </row>
    <row r="311" spans="1:8" x14ac:dyDescent="0.25">
      <c r="A311" t="s">
        <v>1157</v>
      </c>
      <c r="B311" t="s">
        <v>287</v>
      </c>
      <c r="C311" t="s">
        <v>288</v>
      </c>
      <c r="D311" t="s">
        <v>10</v>
      </c>
      <c r="E311">
        <v>604681.91</v>
      </c>
      <c r="F311">
        <v>117</v>
      </c>
      <c r="G311">
        <v>70747783.469999999</v>
      </c>
      <c r="H311" t="s">
        <v>1017</v>
      </c>
    </row>
    <row r="312" spans="1:8" x14ac:dyDescent="0.25">
      <c r="A312" t="s">
        <v>1157</v>
      </c>
      <c r="B312" t="s">
        <v>207</v>
      </c>
      <c r="C312" t="s">
        <v>208</v>
      </c>
      <c r="D312" t="s">
        <v>14</v>
      </c>
      <c r="E312">
        <v>535719.19999999995</v>
      </c>
      <c r="F312">
        <v>96</v>
      </c>
      <c r="G312">
        <v>51429043.200000003</v>
      </c>
      <c r="H312" t="s">
        <v>1017</v>
      </c>
    </row>
    <row r="313" spans="1:8" x14ac:dyDescent="0.25">
      <c r="A313" t="s">
        <v>1158</v>
      </c>
      <c r="B313" t="s">
        <v>489</v>
      </c>
      <c r="C313" t="s">
        <v>490</v>
      </c>
      <c r="D313" t="s">
        <v>10</v>
      </c>
      <c r="E313">
        <v>1638934.01</v>
      </c>
      <c r="F313">
        <v>95</v>
      </c>
      <c r="G313">
        <v>155698730.94999999</v>
      </c>
      <c r="H313" t="s">
        <v>1017</v>
      </c>
    </row>
    <row r="314" spans="1:8" x14ac:dyDescent="0.25">
      <c r="A314" t="s">
        <v>1158</v>
      </c>
      <c r="B314" t="s">
        <v>613</v>
      </c>
      <c r="C314" t="s">
        <v>614</v>
      </c>
      <c r="D314" t="s">
        <v>10</v>
      </c>
      <c r="E314">
        <v>475222.9</v>
      </c>
      <c r="F314">
        <v>116</v>
      </c>
      <c r="G314">
        <v>55125856.399999999</v>
      </c>
      <c r="H314" t="s">
        <v>1017</v>
      </c>
    </row>
    <row r="315" spans="1:8" x14ac:dyDescent="0.25">
      <c r="A315" t="s">
        <v>1158</v>
      </c>
      <c r="B315" t="s">
        <v>391</v>
      </c>
      <c r="C315" t="s">
        <v>392</v>
      </c>
      <c r="D315" t="s">
        <v>10</v>
      </c>
      <c r="E315">
        <v>716228.78</v>
      </c>
      <c r="F315">
        <v>60</v>
      </c>
      <c r="G315">
        <v>42973726.799999997</v>
      </c>
      <c r="H315" t="s">
        <v>1017</v>
      </c>
    </row>
    <row r="316" spans="1:8" x14ac:dyDescent="0.25">
      <c r="A316" t="s">
        <v>1158</v>
      </c>
      <c r="B316" t="s">
        <v>1005</v>
      </c>
      <c r="C316" t="s">
        <v>1006</v>
      </c>
      <c r="D316" t="s">
        <v>14</v>
      </c>
      <c r="E316">
        <v>794966.58</v>
      </c>
      <c r="F316">
        <v>95</v>
      </c>
      <c r="G316">
        <v>75521825.099999994</v>
      </c>
      <c r="H316" t="s">
        <v>1017</v>
      </c>
    </row>
    <row r="317" spans="1:8" x14ac:dyDescent="0.25">
      <c r="A317" t="s">
        <v>1158</v>
      </c>
      <c r="B317" t="s">
        <v>653</v>
      </c>
      <c r="C317" t="s">
        <v>654</v>
      </c>
      <c r="D317" t="s">
        <v>14</v>
      </c>
      <c r="E317">
        <v>1058107.1599999999</v>
      </c>
      <c r="F317">
        <v>94</v>
      </c>
      <c r="G317">
        <v>99462073.040000007</v>
      </c>
      <c r="H317" t="s">
        <v>1017</v>
      </c>
    </row>
    <row r="318" spans="1:8" x14ac:dyDescent="0.25">
      <c r="A318" t="s">
        <v>1159</v>
      </c>
      <c r="B318" t="s">
        <v>493</v>
      </c>
      <c r="C318" t="s">
        <v>494</v>
      </c>
      <c r="D318" t="s">
        <v>19</v>
      </c>
      <c r="E318">
        <v>970650.23</v>
      </c>
      <c r="F318">
        <v>77</v>
      </c>
      <c r="G318">
        <v>74740067.709999993</v>
      </c>
      <c r="H318" t="s">
        <v>1017</v>
      </c>
    </row>
    <row r="319" spans="1:8" x14ac:dyDescent="0.25">
      <c r="A319" t="s">
        <v>1160</v>
      </c>
      <c r="B319" t="s">
        <v>337</v>
      </c>
      <c r="C319" t="s">
        <v>338</v>
      </c>
      <c r="D319" t="s">
        <v>14</v>
      </c>
      <c r="E319">
        <v>651160.73</v>
      </c>
      <c r="F319">
        <v>67</v>
      </c>
      <c r="G319">
        <v>43627768.909999996</v>
      </c>
      <c r="H319" t="s">
        <v>1017</v>
      </c>
    </row>
    <row r="320" spans="1:8" x14ac:dyDescent="0.25">
      <c r="A320" t="s">
        <v>1161</v>
      </c>
      <c r="B320" t="s">
        <v>167</v>
      </c>
      <c r="C320" t="s">
        <v>168</v>
      </c>
      <c r="D320" t="s">
        <v>19</v>
      </c>
      <c r="E320">
        <v>211983.51</v>
      </c>
      <c r="F320">
        <v>74</v>
      </c>
      <c r="G320">
        <v>15686779.74</v>
      </c>
      <c r="H320" t="s">
        <v>1017</v>
      </c>
    </row>
    <row r="321" spans="1:8" x14ac:dyDescent="0.25">
      <c r="A321" t="s">
        <v>1161</v>
      </c>
      <c r="B321" t="s">
        <v>309</v>
      </c>
      <c r="C321" t="s">
        <v>310</v>
      </c>
      <c r="D321" t="s">
        <v>26</v>
      </c>
      <c r="E321">
        <v>1658466.68</v>
      </c>
      <c r="F321">
        <v>8</v>
      </c>
      <c r="G321">
        <v>13267733.439999999</v>
      </c>
      <c r="H321" t="s">
        <v>1017</v>
      </c>
    </row>
    <row r="322" spans="1:8" x14ac:dyDescent="0.25">
      <c r="A322" t="s">
        <v>1162</v>
      </c>
      <c r="B322" t="s">
        <v>20</v>
      </c>
      <c r="C322" t="s">
        <v>21</v>
      </c>
      <c r="D322" t="s">
        <v>10</v>
      </c>
      <c r="E322">
        <v>939999.49</v>
      </c>
      <c r="F322">
        <v>26</v>
      </c>
      <c r="G322">
        <v>24439986.739999998</v>
      </c>
      <c r="H322" t="s">
        <v>1017</v>
      </c>
    </row>
    <row r="323" spans="1:8" x14ac:dyDescent="0.25">
      <c r="A323" t="s">
        <v>1162</v>
      </c>
      <c r="B323" t="s">
        <v>585</v>
      </c>
      <c r="C323" t="s">
        <v>586</v>
      </c>
      <c r="D323" t="s">
        <v>10</v>
      </c>
      <c r="E323">
        <v>1440701</v>
      </c>
      <c r="F323">
        <v>87</v>
      </c>
      <c r="G323">
        <v>125340987</v>
      </c>
      <c r="H323" t="s">
        <v>1017</v>
      </c>
    </row>
    <row r="324" spans="1:8" x14ac:dyDescent="0.25">
      <c r="A324" t="s">
        <v>1162</v>
      </c>
      <c r="B324" t="s">
        <v>87</v>
      </c>
      <c r="C324" t="s">
        <v>88</v>
      </c>
      <c r="D324" t="s">
        <v>26</v>
      </c>
      <c r="E324">
        <v>3957418.91</v>
      </c>
      <c r="F324">
        <v>24</v>
      </c>
      <c r="G324">
        <v>94978053.840000004</v>
      </c>
      <c r="H324" t="s">
        <v>1017</v>
      </c>
    </row>
    <row r="325" spans="1:8" x14ac:dyDescent="0.25">
      <c r="A325" t="s">
        <v>1163</v>
      </c>
      <c r="B325" t="s">
        <v>499</v>
      </c>
      <c r="C325" t="s">
        <v>500</v>
      </c>
      <c r="D325" t="s">
        <v>10</v>
      </c>
      <c r="E325">
        <v>507275.55</v>
      </c>
      <c r="F325">
        <v>19</v>
      </c>
      <c r="G325">
        <v>9638235.4499999993</v>
      </c>
      <c r="H325" t="s">
        <v>1017</v>
      </c>
    </row>
    <row r="326" spans="1:8" x14ac:dyDescent="0.25">
      <c r="A326" t="s">
        <v>1163</v>
      </c>
      <c r="B326" t="s">
        <v>887</v>
      </c>
      <c r="C326" t="s">
        <v>888</v>
      </c>
      <c r="D326" t="s">
        <v>19</v>
      </c>
      <c r="E326">
        <v>382278.79</v>
      </c>
      <c r="F326">
        <v>111</v>
      </c>
      <c r="G326">
        <v>42432945.689999998</v>
      </c>
      <c r="H326" t="s">
        <v>1017</v>
      </c>
    </row>
    <row r="327" spans="1:8" x14ac:dyDescent="0.25">
      <c r="A327" t="s">
        <v>1164</v>
      </c>
      <c r="B327" t="s">
        <v>683</v>
      </c>
      <c r="C327" t="s">
        <v>684</v>
      </c>
      <c r="D327" t="s">
        <v>10</v>
      </c>
      <c r="E327">
        <v>1272245.06</v>
      </c>
      <c r="F327">
        <v>46</v>
      </c>
      <c r="G327">
        <v>58523272.759999998</v>
      </c>
      <c r="H327" t="s">
        <v>1017</v>
      </c>
    </row>
    <row r="328" spans="1:8" x14ac:dyDescent="0.25">
      <c r="A328" t="s">
        <v>1164</v>
      </c>
      <c r="B328" t="s">
        <v>213</v>
      </c>
      <c r="C328" t="s">
        <v>214</v>
      </c>
      <c r="D328" t="s">
        <v>14</v>
      </c>
      <c r="E328">
        <v>1118339.46</v>
      </c>
      <c r="F328">
        <v>116</v>
      </c>
      <c r="G328">
        <v>129727377.36</v>
      </c>
      <c r="H328" t="s">
        <v>1017</v>
      </c>
    </row>
    <row r="329" spans="1:8" x14ac:dyDescent="0.25">
      <c r="A329" t="s">
        <v>1165</v>
      </c>
      <c r="B329" t="s">
        <v>507</v>
      </c>
      <c r="C329" t="s">
        <v>508</v>
      </c>
      <c r="D329" t="s">
        <v>14</v>
      </c>
      <c r="E329">
        <v>109844.91</v>
      </c>
      <c r="F329">
        <v>8</v>
      </c>
      <c r="G329">
        <v>878759.28</v>
      </c>
      <c r="H329" t="s">
        <v>1017</v>
      </c>
    </row>
    <row r="330" spans="1:8" x14ac:dyDescent="0.25">
      <c r="A330" t="s">
        <v>1165</v>
      </c>
      <c r="B330" t="s">
        <v>79</v>
      </c>
      <c r="C330" t="s">
        <v>80</v>
      </c>
      <c r="D330" t="s">
        <v>14</v>
      </c>
      <c r="E330">
        <v>251860.37</v>
      </c>
      <c r="F330">
        <v>43</v>
      </c>
      <c r="G330">
        <v>10829995.91</v>
      </c>
      <c r="H330" t="s">
        <v>1017</v>
      </c>
    </row>
    <row r="331" spans="1:8" x14ac:dyDescent="0.25">
      <c r="A331" t="s">
        <v>1165</v>
      </c>
      <c r="B331" t="s">
        <v>803</v>
      </c>
      <c r="C331" t="s">
        <v>804</v>
      </c>
      <c r="D331" t="s">
        <v>14</v>
      </c>
      <c r="E331">
        <v>101449.14</v>
      </c>
      <c r="F331">
        <v>116</v>
      </c>
      <c r="G331">
        <v>11768100.24</v>
      </c>
      <c r="H331" t="s">
        <v>1017</v>
      </c>
    </row>
    <row r="332" spans="1:8" x14ac:dyDescent="0.25">
      <c r="A332" t="s">
        <v>1166</v>
      </c>
      <c r="B332" t="s">
        <v>883</v>
      </c>
      <c r="C332" t="s">
        <v>884</v>
      </c>
      <c r="D332" t="s">
        <v>14</v>
      </c>
      <c r="E332">
        <v>815463.56</v>
      </c>
      <c r="F332">
        <v>109</v>
      </c>
      <c r="G332">
        <v>88885528.040000007</v>
      </c>
      <c r="H332" t="s">
        <v>1017</v>
      </c>
    </row>
    <row r="333" spans="1:8" x14ac:dyDescent="0.25">
      <c r="A333" t="s">
        <v>1167</v>
      </c>
      <c r="B333" t="s">
        <v>181</v>
      </c>
      <c r="C333" t="s">
        <v>182</v>
      </c>
      <c r="D333" t="s">
        <v>14</v>
      </c>
      <c r="E333">
        <v>920889.17</v>
      </c>
      <c r="F333">
        <v>45</v>
      </c>
      <c r="G333">
        <v>41440012.649999999</v>
      </c>
      <c r="H333" t="s">
        <v>1017</v>
      </c>
    </row>
    <row r="334" spans="1:8" x14ac:dyDescent="0.25">
      <c r="A334" t="s">
        <v>1167</v>
      </c>
      <c r="B334" t="s">
        <v>313</v>
      </c>
      <c r="C334" t="s">
        <v>314</v>
      </c>
      <c r="D334" t="s">
        <v>26</v>
      </c>
      <c r="E334">
        <v>1350403.84</v>
      </c>
      <c r="F334">
        <v>31</v>
      </c>
      <c r="G334">
        <v>41862519.039999999</v>
      </c>
      <c r="H334" t="s">
        <v>1017</v>
      </c>
    </row>
    <row r="335" spans="1:8" x14ac:dyDescent="0.25">
      <c r="A335" t="s">
        <v>1168</v>
      </c>
      <c r="B335" t="s">
        <v>467</v>
      </c>
      <c r="C335" t="s">
        <v>468</v>
      </c>
      <c r="D335" t="s">
        <v>19</v>
      </c>
      <c r="E335">
        <v>1713746.25</v>
      </c>
      <c r="F335">
        <v>65</v>
      </c>
      <c r="G335">
        <v>111393506.25</v>
      </c>
      <c r="H335" t="s">
        <v>1017</v>
      </c>
    </row>
    <row r="336" spans="1:8" x14ac:dyDescent="0.25">
      <c r="A336" t="s">
        <v>1168</v>
      </c>
      <c r="B336" t="s">
        <v>465</v>
      </c>
      <c r="C336" t="s">
        <v>466</v>
      </c>
      <c r="D336" t="s">
        <v>26</v>
      </c>
      <c r="E336">
        <v>2093001.88</v>
      </c>
      <c r="F336">
        <v>93</v>
      </c>
      <c r="G336">
        <v>194649174.84</v>
      </c>
      <c r="H336" t="s">
        <v>1017</v>
      </c>
    </row>
    <row r="337" spans="1:8" x14ac:dyDescent="0.25">
      <c r="A337" t="s">
        <v>1169</v>
      </c>
      <c r="B337" t="s">
        <v>871</v>
      </c>
      <c r="C337" t="s">
        <v>872</v>
      </c>
      <c r="D337" t="s">
        <v>14</v>
      </c>
      <c r="E337">
        <v>362962.31</v>
      </c>
      <c r="F337">
        <v>81</v>
      </c>
      <c r="G337">
        <v>29399947.109999999</v>
      </c>
      <c r="H337" t="s">
        <v>1017</v>
      </c>
    </row>
    <row r="338" spans="1:8" x14ac:dyDescent="0.25">
      <c r="A338" t="s">
        <v>1170</v>
      </c>
      <c r="B338" t="s">
        <v>375</v>
      </c>
      <c r="C338" t="s">
        <v>376</v>
      </c>
      <c r="D338" t="s">
        <v>10</v>
      </c>
      <c r="E338">
        <v>1180246.43</v>
      </c>
      <c r="F338">
        <v>85</v>
      </c>
      <c r="G338">
        <v>100320946.55</v>
      </c>
      <c r="H338" t="s">
        <v>1017</v>
      </c>
    </row>
    <row r="339" spans="1:8" x14ac:dyDescent="0.25">
      <c r="A339" t="s">
        <v>1171</v>
      </c>
      <c r="B339" t="s">
        <v>71</v>
      </c>
      <c r="C339" t="s">
        <v>72</v>
      </c>
      <c r="D339" t="s">
        <v>10</v>
      </c>
      <c r="E339">
        <v>243104.78</v>
      </c>
      <c r="F339">
        <v>38</v>
      </c>
      <c r="G339">
        <v>9237981.6400000006</v>
      </c>
      <c r="H339" t="s">
        <v>1017</v>
      </c>
    </row>
    <row r="340" spans="1:8" x14ac:dyDescent="0.25">
      <c r="A340" t="s">
        <v>1172</v>
      </c>
      <c r="B340" t="s">
        <v>665</v>
      </c>
      <c r="C340" t="s">
        <v>666</v>
      </c>
      <c r="D340" t="s">
        <v>10</v>
      </c>
      <c r="E340">
        <v>439714.27</v>
      </c>
      <c r="F340">
        <v>25</v>
      </c>
      <c r="G340">
        <v>10992856.75</v>
      </c>
      <c r="H340" t="s">
        <v>1017</v>
      </c>
    </row>
    <row r="341" spans="1:8" x14ac:dyDescent="0.25">
      <c r="A341" t="s">
        <v>1172</v>
      </c>
      <c r="B341" t="s">
        <v>241</v>
      </c>
      <c r="C341" t="s">
        <v>242</v>
      </c>
      <c r="D341" t="s">
        <v>14</v>
      </c>
      <c r="E341">
        <v>1055921.23</v>
      </c>
      <c r="F341">
        <v>59</v>
      </c>
      <c r="G341">
        <v>62299352.57</v>
      </c>
      <c r="H341" t="s">
        <v>1017</v>
      </c>
    </row>
    <row r="342" spans="1:8" x14ac:dyDescent="0.25">
      <c r="A342" t="s">
        <v>1172</v>
      </c>
      <c r="B342" t="s">
        <v>239</v>
      </c>
      <c r="C342" t="s">
        <v>240</v>
      </c>
      <c r="D342" t="s">
        <v>10</v>
      </c>
      <c r="E342">
        <v>859539.9</v>
      </c>
      <c r="F342">
        <v>94</v>
      </c>
      <c r="G342">
        <v>80796750.599999994</v>
      </c>
      <c r="H342" t="s">
        <v>1017</v>
      </c>
    </row>
    <row r="343" spans="1:8" x14ac:dyDescent="0.25">
      <c r="A343" t="s">
        <v>1172</v>
      </c>
      <c r="B343" t="s">
        <v>267</v>
      </c>
      <c r="C343" t="s">
        <v>268</v>
      </c>
      <c r="D343" t="s">
        <v>14</v>
      </c>
      <c r="E343">
        <v>616876.30000000005</v>
      </c>
      <c r="F343">
        <v>86</v>
      </c>
      <c r="G343">
        <v>53051361.799999997</v>
      </c>
      <c r="H343" t="s">
        <v>1017</v>
      </c>
    </row>
    <row r="344" spans="1:8" x14ac:dyDescent="0.25">
      <c r="A344" t="s">
        <v>1173</v>
      </c>
      <c r="B344" t="s">
        <v>429</v>
      </c>
      <c r="C344" t="s">
        <v>430</v>
      </c>
      <c r="D344" t="s">
        <v>19</v>
      </c>
      <c r="E344">
        <v>1914481.11</v>
      </c>
      <c r="F344">
        <v>2</v>
      </c>
      <c r="G344">
        <v>3828962.22</v>
      </c>
      <c r="H344" t="s">
        <v>1017</v>
      </c>
    </row>
    <row r="345" spans="1:8" x14ac:dyDescent="0.25">
      <c r="A345" t="s">
        <v>1174</v>
      </c>
      <c r="B345" t="s">
        <v>245</v>
      </c>
      <c r="C345" t="s">
        <v>246</v>
      </c>
      <c r="D345" t="s">
        <v>10</v>
      </c>
      <c r="E345">
        <v>949452.14</v>
      </c>
      <c r="F345">
        <v>108</v>
      </c>
      <c r="G345">
        <v>102540831.12</v>
      </c>
      <c r="H345" t="s">
        <v>1017</v>
      </c>
    </row>
    <row r="346" spans="1:8" x14ac:dyDescent="0.25">
      <c r="A346" t="s">
        <v>1175</v>
      </c>
      <c r="B346" t="s">
        <v>947</v>
      </c>
      <c r="C346" t="s">
        <v>948</v>
      </c>
      <c r="D346" t="s">
        <v>26</v>
      </c>
      <c r="E346">
        <v>1264222.07</v>
      </c>
      <c r="F346">
        <v>96</v>
      </c>
      <c r="G346">
        <v>121365318.72</v>
      </c>
      <c r="H346" t="s">
        <v>1017</v>
      </c>
    </row>
    <row r="347" spans="1:8" x14ac:dyDescent="0.25">
      <c r="A347" t="s">
        <v>1175</v>
      </c>
      <c r="B347" t="s">
        <v>165</v>
      </c>
      <c r="C347" t="s">
        <v>166</v>
      </c>
      <c r="D347" t="s">
        <v>26</v>
      </c>
      <c r="E347">
        <v>2308870.65</v>
      </c>
      <c r="F347">
        <v>94</v>
      </c>
      <c r="G347">
        <v>217033841.09999999</v>
      </c>
      <c r="H347" t="s">
        <v>1017</v>
      </c>
    </row>
    <row r="348" spans="1:8" x14ac:dyDescent="0.25">
      <c r="A348" t="s">
        <v>1175</v>
      </c>
      <c r="B348" t="s">
        <v>477</v>
      </c>
      <c r="C348" t="s">
        <v>478</v>
      </c>
      <c r="D348" t="s">
        <v>14</v>
      </c>
      <c r="E348">
        <v>158561.43</v>
      </c>
      <c r="F348">
        <v>116</v>
      </c>
      <c r="G348">
        <v>18393125.879999999</v>
      </c>
      <c r="H348" t="s">
        <v>1017</v>
      </c>
    </row>
    <row r="349" spans="1:8" x14ac:dyDescent="0.25">
      <c r="A349" t="s">
        <v>1175</v>
      </c>
      <c r="B349" t="s">
        <v>83</v>
      </c>
      <c r="C349" t="s">
        <v>84</v>
      </c>
      <c r="D349" t="s">
        <v>19</v>
      </c>
      <c r="E349">
        <v>1998653.26</v>
      </c>
      <c r="F349">
        <v>77</v>
      </c>
      <c r="G349">
        <v>153896301.02000001</v>
      </c>
      <c r="H349" t="s">
        <v>1017</v>
      </c>
    </row>
    <row r="350" spans="1:8" x14ac:dyDescent="0.25">
      <c r="A350" t="s">
        <v>1176</v>
      </c>
      <c r="B350" t="s">
        <v>765</v>
      </c>
      <c r="C350" t="s">
        <v>766</v>
      </c>
      <c r="D350" t="s">
        <v>14</v>
      </c>
      <c r="E350">
        <v>772963.37</v>
      </c>
      <c r="F350">
        <v>55</v>
      </c>
      <c r="G350">
        <v>42512985.350000001</v>
      </c>
      <c r="H350" t="s">
        <v>1017</v>
      </c>
    </row>
    <row r="351" spans="1:8" x14ac:dyDescent="0.25">
      <c r="A351" t="s">
        <v>1176</v>
      </c>
      <c r="B351" t="s">
        <v>295</v>
      </c>
      <c r="C351" t="s">
        <v>296</v>
      </c>
      <c r="D351" t="s">
        <v>19</v>
      </c>
      <c r="E351">
        <v>673522.3</v>
      </c>
      <c r="F351">
        <v>86</v>
      </c>
      <c r="G351">
        <v>57922917.799999997</v>
      </c>
      <c r="H351" t="s">
        <v>1017</v>
      </c>
    </row>
    <row r="352" spans="1:8" x14ac:dyDescent="0.25">
      <c r="A352" t="s">
        <v>1176</v>
      </c>
      <c r="B352" t="s">
        <v>483</v>
      </c>
      <c r="C352" t="s">
        <v>484</v>
      </c>
      <c r="D352" t="s">
        <v>14</v>
      </c>
      <c r="E352">
        <v>1094279.1000000001</v>
      </c>
      <c r="F352">
        <v>99</v>
      </c>
      <c r="G352">
        <v>108333630.90000001</v>
      </c>
      <c r="H352" t="s">
        <v>1017</v>
      </c>
    </row>
    <row r="353" spans="1:8" x14ac:dyDescent="0.25">
      <c r="A353" t="s">
        <v>1177</v>
      </c>
      <c r="B353" t="s">
        <v>347</v>
      </c>
      <c r="C353" t="s">
        <v>348</v>
      </c>
      <c r="D353" t="s">
        <v>26</v>
      </c>
      <c r="E353">
        <v>3444582.34</v>
      </c>
      <c r="F353">
        <v>82</v>
      </c>
      <c r="G353">
        <v>282455751.88</v>
      </c>
      <c r="H353" t="s">
        <v>1017</v>
      </c>
    </row>
    <row r="354" spans="1:8" x14ac:dyDescent="0.25">
      <c r="A354" t="s">
        <v>1178</v>
      </c>
      <c r="B354" t="s">
        <v>751</v>
      </c>
      <c r="C354" t="s">
        <v>752</v>
      </c>
      <c r="D354" t="s">
        <v>14</v>
      </c>
      <c r="E354">
        <v>996386.86</v>
      </c>
      <c r="F354">
        <v>23</v>
      </c>
      <c r="G354">
        <v>22916897.780000001</v>
      </c>
      <c r="H354" t="s">
        <v>1017</v>
      </c>
    </row>
    <row r="355" spans="1:8" x14ac:dyDescent="0.25">
      <c r="A355" t="s">
        <v>1178</v>
      </c>
      <c r="B355" t="s">
        <v>661</v>
      </c>
      <c r="C355" t="s">
        <v>662</v>
      </c>
      <c r="D355" t="s">
        <v>26</v>
      </c>
      <c r="E355">
        <v>3266912.93</v>
      </c>
      <c r="F355">
        <v>120</v>
      </c>
      <c r="G355">
        <v>392029551.60000002</v>
      </c>
      <c r="H355" t="s">
        <v>1017</v>
      </c>
    </row>
    <row r="356" spans="1:8" x14ac:dyDescent="0.25">
      <c r="A356" t="s">
        <v>1178</v>
      </c>
      <c r="B356" t="s">
        <v>771</v>
      </c>
      <c r="C356" t="s">
        <v>772</v>
      </c>
      <c r="D356" t="s">
        <v>26</v>
      </c>
      <c r="E356">
        <v>3397612.89</v>
      </c>
      <c r="F356">
        <v>115</v>
      </c>
      <c r="G356">
        <v>390725482.35000002</v>
      </c>
      <c r="H356" t="s">
        <v>1017</v>
      </c>
    </row>
    <row r="357" spans="1:8" x14ac:dyDescent="0.25">
      <c r="A357" t="s">
        <v>1179</v>
      </c>
      <c r="B357" t="s">
        <v>225</v>
      </c>
      <c r="C357" t="s">
        <v>226</v>
      </c>
      <c r="D357" t="s">
        <v>26</v>
      </c>
      <c r="E357">
        <v>1661073.46</v>
      </c>
      <c r="F357">
        <v>21</v>
      </c>
      <c r="G357">
        <v>34882542.659999996</v>
      </c>
      <c r="H357" t="s">
        <v>1017</v>
      </c>
    </row>
    <row r="358" spans="1:8" x14ac:dyDescent="0.25">
      <c r="A358" t="s">
        <v>1179</v>
      </c>
      <c r="B358" t="s">
        <v>457</v>
      </c>
      <c r="C358" t="s">
        <v>458</v>
      </c>
      <c r="D358" t="s">
        <v>26</v>
      </c>
      <c r="E358">
        <v>560721.44999999995</v>
      </c>
      <c r="F358">
        <v>87</v>
      </c>
      <c r="G358">
        <v>48782766.149999999</v>
      </c>
      <c r="H358" t="s">
        <v>1017</v>
      </c>
    </row>
    <row r="359" spans="1:8" x14ac:dyDescent="0.25">
      <c r="A359" t="s">
        <v>1179</v>
      </c>
      <c r="B359" t="s">
        <v>563</v>
      </c>
      <c r="C359" t="s">
        <v>564</v>
      </c>
      <c r="D359" t="s">
        <v>10</v>
      </c>
      <c r="E359">
        <v>878061.47</v>
      </c>
      <c r="F359">
        <v>42</v>
      </c>
      <c r="G359">
        <v>36878581.740000002</v>
      </c>
      <c r="H359" t="s">
        <v>1017</v>
      </c>
    </row>
    <row r="360" spans="1:8" x14ac:dyDescent="0.25">
      <c r="A360" t="s">
        <v>1179</v>
      </c>
      <c r="B360" t="s">
        <v>773</v>
      </c>
      <c r="C360" t="s">
        <v>774</v>
      </c>
      <c r="D360" t="s">
        <v>14</v>
      </c>
      <c r="E360">
        <v>685828.78</v>
      </c>
      <c r="F360">
        <v>79</v>
      </c>
      <c r="G360">
        <v>54180473.619999997</v>
      </c>
      <c r="H360" t="s">
        <v>1017</v>
      </c>
    </row>
    <row r="361" spans="1:8" x14ac:dyDescent="0.25">
      <c r="A361" t="s">
        <v>1179</v>
      </c>
      <c r="B361" t="s">
        <v>857</v>
      </c>
      <c r="C361" t="s">
        <v>858</v>
      </c>
      <c r="D361" t="s">
        <v>10</v>
      </c>
      <c r="E361">
        <v>612822.47</v>
      </c>
      <c r="F361">
        <v>39</v>
      </c>
      <c r="G361">
        <v>23900076.329999998</v>
      </c>
      <c r="H361" t="s">
        <v>1017</v>
      </c>
    </row>
    <row r="362" spans="1:8" x14ac:dyDescent="0.25">
      <c r="A362" t="s">
        <v>1180</v>
      </c>
      <c r="B362" t="s">
        <v>541</v>
      </c>
      <c r="C362" t="s">
        <v>542</v>
      </c>
      <c r="D362" t="s">
        <v>10</v>
      </c>
      <c r="E362">
        <v>244201.78</v>
      </c>
      <c r="F362">
        <v>38</v>
      </c>
      <c r="G362">
        <v>9279667.6400000006</v>
      </c>
      <c r="H362" t="s">
        <v>1017</v>
      </c>
    </row>
    <row r="363" spans="1:8" x14ac:dyDescent="0.25">
      <c r="A363" t="s">
        <v>1181</v>
      </c>
      <c r="B363" t="s">
        <v>825</v>
      </c>
      <c r="C363" t="s">
        <v>826</v>
      </c>
      <c r="D363" t="s">
        <v>19</v>
      </c>
      <c r="E363">
        <v>1812271.46</v>
      </c>
      <c r="F363">
        <v>101</v>
      </c>
      <c r="G363">
        <v>183039417.46000001</v>
      </c>
      <c r="H363" t="s">
        <v>1017</v>
      </c>
    </row>
    <row r="364" spans="1:8" x14ac:dyDescent="0.25">
      <c r="A364" t="s">
        <v>1181</v>
      </c>
      <c r="B364" t="s">
        <v>935</v>
      </c>
      <c r="C364" t="s">
        <v>936</v>
      </c>
      <c r="D364" t="s">
        <v>14</v>
      </c>
      <c r="E364">
        <v>71774.429999999993</v>
      </c>
      <c r="F364">
        <v>68</v>
      </c>
      <c r="G364">
        <v>4880661.24</v>
      </c>
      <c r="H364" t="s">
        <v>1017</v>
      </c>
    </row>
    <row r="365" spans="1:8" x14ac:dyDescent="0.25">
      <c r="A365" t="s">
        <v>1182</v>
      </c>
      <c r="B365" t="s">
        <v>605</v>
      </c>
      <c r="C365" t="s">
        <v>606</v>
      </c>
      <c r="D365" t="s">
        <v>10</v>
      </c>
      <c r="E365">
        <v>386768.47</v>
      </c>
      <c r="F365">
        <v>64</v>
      </c>
      <c r="G365">
        <v>24753182.079999998</v>
      </c>
      <c r="H365" t="s">
        <v>1017</v>
      </c>
    </row>
    <row r="366" spans="1:8" x14ac:dyDescent="0.25">
      <c r="A366" t="s">
        <v>1182</v>
      </c>
      <c r="B366" t="s">
        <v>449</v>
      </c>
      <c r="C366" t="s">
        <v>450</v>
      </c>
      <c r="D366" t="s">
        <v>26</v>
      </c>
      <c r="E366">
        <v>1485378.99</v>
      </c>
      <c r="F366">
        <v>10</v>
      </c>
      <c r="G366">
        <v>14853789.9</v>
      </c>
      <c r="H366" t="s">
        <v>1017</v>
      </c>
    </row>
    <row r="367" spans="1:8" x14ac:dyDescent="0.25">
      <c r="A367" t="s">
        <v>1183</v>
      </c>
      <c r="B367" t="s">
        <v>847</v>
      </c>
      <c r="C367" t="s">
        <v>848</v>
      </c>
      <c r="D367" t="s">
        <v>26</v>
      </c>
      <c r="E367">
        <v>1098293.29</v>
      </c>
      <c r="F367">
        <v>117</v>
      </c>
      <c r="G367">
        <v>128500314.93000001</v>
      </c>
      <c r="H367" t="s">
        <v>1017</v>
      </c>
    </row>
    <row r="368" spans="1:8" x14ac:dyDescent="0.25">
      <c r="A368" t="s">
        <v>1183</v>
      </c>
      <c r="B368" t="s">
        <v>287</v>
      </c>
      <c r="C368" t="s">
        <v>288</v>
      </c>
      <c r="D368" t="s">
        <v>10</v>
      </c>
      <c r="E368">
        <v>649573.28</v>
      </c>
      <c r="F368">
        <v>31</v>
      </c>
      <c r="G368">
        <v>20136771.68</v>
      </c>
      <c r="H368" t="s">
        <v>1017</v>
      </c>
    </row>
    <row r="369" spans="1:8" x14ac:dyDescent="0.25">
      <c r="A369" t="s">
        <v>1183</v>
      </c>
      <c r="B369" t="s">
        <v>365</v>
      </c>
      <c r="C369" t="s">
        <v>366</v>
      </c>
      <c r="D369" t="s">
        <v>10</v>
      </c>
      <c r="E369">
        <v>84743.15</v>
      </c>
      <c r="F369">
        <v>74</v>
      </c>
      <c r="G369">
        <v>6270993.0999999996</v>
      </c>
      <c r="H369" t="s">
        <v>1017</v>
      </c>
    </row>
    <row r="370" spans="1:8" x14ac:dyDescent="0.25">
      <c r="A370" t="s">
        <v>1184</v>
      </c>
      <c r="B370" t="s">
        <v>433</v>
      </c>
      <c r="C370" t="s">
        <v>434</v>
      </c>
      <c r="D370" t="s">
        <v>10</v>
      </c>
      <c r="E370">
        <v>1361371.11</v>
      </c>
      <c r="F370">
        <v>71</v>
      </c>
      <c r="G370">
        <v>96657348.810000002</v>
      </c>
      <c r="H370" t="s">
        <v>1017</v>
      </c>
    </row>
    <row r="371" spans="1:8" x14ac:dyDescent="0.25">
      <c r="A371" t="s">
        <v>1184</v>
      </c>
      <c r="B371" t="s">
        <v>853</v>
      </c>
      <c r="C371" t="s">
        <v>854</v>
      </c>
      <c r="D371" t="s">
        <v>14</v>
      </c>
      <c r="E371">
        <v>318177.23</v>
      </c>
      <c r="F371">
        <v>72</v>
      </c>
      <c r="G371">
        <v>22908760.559999999</v>
      </c>
      <c r="H371" t="s">
        <v>1017</v>
      </c>
    </row>
    <row r="372" spans="1:8" x14ac:dyDescent="0.25">
      <c r="A372" t="s">
        <v>1184</v>
      </c>
      <c r="B372" t="s">
        <v>721</v>
      </c>
      <c r="C372" t="s">
        <v>722</v>
      </c>
      <c r="D372" t="s">
        <v>10</v>
      </c>
      <c r="E372">
        <v>847623.17</v>
      </c>
      <c r="F372">
        <v>104</v>
      </c>
      <c r="G372">
        <v>88152809.680000007</v>
      </c>
      <c r="H372" t="s">
        <v>1017</v>
      </c>
    </row>
    <row r="373" spans="1:8" x14ac:dyDescent="0.25">
      <c r="A373" t="s">
        <v>1185</v>
      </c>
      <c r="B373" t="s">
        <v>767</v>
      </c>
      <c r="C373" t="s">
        <v>768</v>
      </c>
      <c r="D373" t="s">
        <v>14</v>
      </c>
      <c r="E373">
        <v>80505.929999999993</v>
      </c>
      <c r="F373">
        <v>114</v>
      </c>
      <c r="G373">
        <v>9177676.0199999996</v>
      </c>
      <c r="H373" t="s">
        <v>1017</v>
      </c>
    </row>
    <row r="374" spans="1:8" x14ac:dyDescent="0.25">
      <c r="A374" t="s">
        <v>1185</v>
      </c>
      <c r="B374" t="s">
        <v>129</v>
      </c>
      <c r="C374" t="s">
        <v>130</v>
      </c>
      <c r="D374" t="s">
        <v>26</v>
      </c>
      <c r="E374">
        <v>3573059.38</v>
      </c>
      <c r="F374">
        <v>36</v>
      </c>
      <c r="G374">
        <v>128630137.68000001</v>
      </c>
      <c r="H374" t="s">
        <v>1017</v>
      </c>
    </row>
    <row r="375" spans="1:8" x14ac:dyDescent="0.25">
      <c r="A375" t="s">
        <v>1186</v>
      </c>
      <c r="B375" t="s">
        <v>695</v>
      </c>
      <c r="C375" t="s">
        <v>696</v>
      </c>
      <c r="D375" t="s">
        <v>19</v>
      </c>
      <c r="E375">
        <v>234277.14</v>
      </c>
      <c r="F375">
        <v>13</v>
      </c>
      <c r="G375">
        <v>3045602.82</v>
      </c>
      <c r="H375" t="s">
        <v>1017</v>
      </c>
    </row>
    <row r="376" spans="1:8" x14ac:dyDescent="0.25">
      <c r="A376" t="s">
        <v>1187</v>
      </c>
      <c r="B376" t="s">
        <v>747</v>
      </c>
      <c r="C376" t="s">
        <v>748</v>
      </c>
      <c r="D376" t="s">
        <v>19</v>
      </c>
      <c r="E376">
        <v>492483.43</v>
      </c>
      <c r="F376">
        <v>47</v>
      </c>
      <c r="G376">
        <v>23146721.210000001</v>
      </c>
      <c r="H376" t="s">
        <v>1017</v>
      </c>
    </row>
    <row r="377" spans="1:8" x14ac:dyDescent="0.25">
      <c r="A377" t="s">
        <v>1188</v>
      </c>
      <c r="B377" t="s">
        <v>217</v>
      </c>
      <c r="C377" t="s">
        <v>218</v>
      </c>
      <c r="D377" t="s">
        <v>26</v>
      </c>
      <c r="E377">
        <v>1265081.04</v>
      </c>
      <c r="F377">
        <v>114</v>
      </c>
      <c r="G377">
        <v>144219238.56</v>
      </c>
      <c r="H377" t="s">
        <v>1017</v>
      </c>
    </row>
    <row r="378" spans="1:8" x14ac:dyDescent="0.25">
      <c r="A378" t="s">
        <v>1189</v>
      </c>
      <c r="B378" t="s">
        <v>603</v>
      </c>
      <c r="C378" t="s">
        <v>604</v>
      </c>
      <c r="D378" t="s">
        <v>10</v>
      </c>
      <c r="E378">
        <v>470102.19</v>
      </c>
      <c r="F378">
        <v>73</v>
      </c>
      <c r="G378">
        <v>34317459.869999997</v>
      </c>
      <c r="H378" t="s">
        <v>1017</v>
      </c>
    </row>
    <row r="379" spans="1:8" x14ac:dyDescent="0.25">
      <c r="A379" t="s">
        <v>1190</v>
      </c>
      <c r="B379" t="s">
        <v>285</v>
      </c>
      <c r="C379" t="s">
        <v>286</v>
      </c>
      <c r="D379" t="s">
        <v>19</v>
      </c>
      <c r="E379">
        <v>1383644.34</v>
      </c>
      <c r="F379">
        <v>81</v>
      </c>
      <c r="G379">
        <v>112075191.54000001</v>
      </c>
      <c r="H379" t="s">
        <v>1017</v>
      </c>
    </row>
    <row r="380" spans="1:8" x14ac:dyDescent="0.25">
      <c r="A380" t="s">
        <v>1191</v>
      </c>
      <c r="B380" t="s">
        <v>587</v>
      </c>
      <c r="C380" t="s">
        <v>588</v>
      </c>
      <c r="D380" t="s">
        <v>14</v>
      </c>
      <c r="E380">
        <v>889037.81</v>
      </c>
      <c r="F380">
        <v>59</v>
      </c>
      <c r="G380">
        <v>52453230.789999999</v>
      </c>
      <c r="H380" t="s">
        <v>1017</v>
      </c>
    </row>
    <row r="381" spans="1:8" x14ac:dyDescent="0.25">
      <c r="A381" t="s">
        <v>1192</v>
      </c>
      <c r="B381" t="s">
        <v>403</v>
      </c>
      <c r="C381" t="s">
        <v>404</v>
      </c>
      <c r="D381" t="s">
        <v>19</v>
      </c>
      <c r="E381">
        <v>1101496.4099999999</v>
      </c>
      <c r="F381">
        <v>111</v>
      </c>
      <c r="G381">
        <v>122266101.51000001</v>
      </c>
      <c r="H381" t="s">
        <v>1017</v>
      </c>
    </row>
    <row r="382" spans="1:8" x14ac:dyDescent="0.25">
      <c r="A382" t="s">
        <v>1193</v>
      </c>
      <c r="B382" t="s">
        <v>385</v>
      </c>
      <c r="C382" t="s">
        <v>386</v>
      </c>
      <c r="D382" t="s">
        <v>10</v>
      </c>
      <c r="E382">
        <v>943412.44</v>
      </c>
      <c r="F382">
        <v>32</v>
      </c>
      <c r="G382">
        <v>30189198.079999998</v>
      </c>
      <c r="H382" t="s">
        <v>1017</v>
      </c>
    </row>
    <row r="383" spans="1:8" x14ac:dyDescent="0.25">
      <c r="A383" t="s">
        <v>1193</v>
      </c>
      <c r="B383" t="s">
        <v>621</v>
      </c>
      <c r="C383" t="s">
        <v>622</v>
      </c>
      <c r="D383" t="s">
        <v>26</v>
      </c>
      <c r="E383">
        <v>2060874.66</v>
      </c>
      <c r="F383">
        <v>38</v>
      </c>
      <c r="G383">
        <v>78313237.079999998</v>
      </c>
      <c r="H383" t="s">
        <v>1017</v>
      </c>
    </row>
    <row r="384" spans="1:8" x14ac:dyDescent="0.25">
      <c r="A384" t="s">
        <v>1194</v>
      </c>
      <c r="B384" t="s">
        <v>481</v>
      </c>
      <c r="C384" t="s">
        <v>482</v>
      </c>
      <c r="D384" t="s">
        <v>14</v>
      </c>
      <c r="E384">
        <v>541432.16</v>
      </c>
      <c r="F384">
        <v>9</v>
      </c>
      <c r="G384">
        <v>4872889.4400000004</v>
      </c>
      <c r="H384" t="s">
        <v>1017</v>
      </c>
    </row>
    <row r="385" spans="1:8" x14ac:dyDescent="0.25">
      <c r="A385" t="s">
        <v>1195</v>
      </c>
      <c r="B385" t="s">
        <v>949</v>
      </c>
      <c r="C385" t="s">
        <v>950</v>
      </c>
      <c r="D385" t="s">
        <v>19</v>
      </c>
      <c r="E385">
        <v>1254794.21</v>
      </c>
      <c r="F385">
        <v>63</v>
      </c>
      <c r="G385">
        <v>79052035.230000004</v>
      </c>
      <c r="H385" t="s">
        <v>1017</v>
      </c>
    </row>
    <row r="386" spans="1:8" x14ac:dyDescent="0.25">
      <c r="A386" t="s">
        <v>1195</v>
      </c>
      <c r="B386" t="s">
        <v>137</v>
      </c>
      <c r="C386" t="s">
        <v>138</v>
      </c>
      <c r="D386" t="s">
        <v>10</v>
      </c>
      <c r="E386">
        <v>176403.36</v>
      </c>
      <c r="F386">
        <v>54</v>
      </c>
      <c r="G386">
        <v>9525781.4399999995</v>
      </c>
      <c r="H386" t="s">
        <v>1017</v>
      </c>
    </row>
    <row r="387" spans="1:8" x14ac:dyDescent="0.25">
      <c r="A387" t="s">
        <v>1195</v>
      </c>
      <c r="B387" t="s">
        <v>351</v>
      </c>
      <c r="C387" t="s">
        <v>352</v>
      </c>
      <c r="D387" t="s">
        <v>14</v>
      </c>
      <c r="E387">
        <v>400609.72</v>
      </c>
      <c r="F387">
        <v>60</v>
      </c>
      <c r="G387">
        <v>24036583.199999999</v>
      </c>
      <c r="H387" t="s">
        <v>1017</v>
      </c>
    </row>
    <row r="388" spans="1:8" x14ac:dyDescent="0.25">
      <c r="A388" t="s">
        <v>1196</v>
      </c>
      <c r="B388" t="s">
        <v>935</v>
      </c>
      <c r="C388" t="s">
        <v>936</v>
      </c>
      <c r="D388" t="s">
        <v>14</v>
      </c>
      <c r="E388">
        <v>72894.89</v>
      </c>
      <c r="F388">
        <v>32</v>
      </c>
      <c r="G388">
        <v>2332636.48</v>
      </c>
      <c r="H388" t="s">
        <v>1017</v>
      </c>
    </row>
    <row r="389" spans="1:8" x14ac:dyDescent="0.25">
      <c r="A389" t="s">
        <v>1197</v>
      </c>
      <c r="B389" t="s">
        <v>457</v>
      </c>
      <c r="C389" t="s">
        <v>458</v>
      </c>
      <c r="D389" t="s">
        <v>26</v>
      </c>
      <c r="E389">
        <v>561759.31000000006</v>
      </c>
      <c r="F389">
        <v>116</v>
      </c>
      <c r="G389">
        <v>65164079.960000001</v>
      </c>
      <c r="H389" t="s">
        <v>1017</v>
      </c>
    </row>
    <row r="390" spans="1:8" x14ac:dyDescent="0.25">
      <c r="A390" t="s">
        <v>1197</v>
      </c>
      <c r="B390" t="s">
        <v>277</v>
      </c>
      <c r="C390" t="s">
        <v>278</v>
      </c>
      <c r="D390" t="s">
        <v>10</v>
      </c>
      <c r="E390">
        <v>1461763.67</v>
      </c>
      <c r="F390">
        <v>91</v>
      </c>
      <c r="G390">
        <v>133020493.97</v>
      </c>
      <c r="H390" t="s">
        <v>1017</v>
      </c>
    </row>
    <row r="391" spans="1:8" x14ac:dyDescent="0.25">
      <c r="A391" t="s">
        <v>1197</v>
      </c>
      <c r="B391" t="s">
        <v>673</v>
      </c>
      <c r="C391" t="s">
        <v>674</v>
      </c>
      <c r="D391" t="s">
        <v>10</v>
      </c>
      <c r="E391">
        <v>798561.23</v>
      </c>
      <c r="F391">
        <v>32</v>
      </c>
      <c r="G391">
        <v>25553959.359999999</v>
      </c>
      <c r="H391" t="s">
        <v>1017</v>
      </c>
    </row>
    <row r="392" spans="1:8" x14ac:dyDescent="0.25">
      <c r="A392" t="s">
        <v>1198</v>
      </c>
      <c r="B392" t="s">
        <v>261</v>
      </c>
      <c r="C392" t="s">
        <v>262</v>
      </c>
      <c r="D392" t="s">
        <v>10</v>
      </c>
      <c r="E392">
        <v>1605290.03</v>
      </c>
      <c r="F392">
        <v>117</v>
      </c>
      <c r="G392">
        <v>187818933.50999999</v>
      </c>
      <c r="H392" t="s">
        <v>1017</v>
      </c>
    </row>
    <row r="393" spans="1:8" x14ac:dyDescent="0.25">
      <c r="A393" t="s">
        <v>1198</v>
      </c>
      <c r="B393" t="s">
        <v>187</v>
      </c>
      <c r="C393" t="s">
        <v>188</v>
      </c>
      <c r="D393" t="s">
        <v>19</v>
      </c>
      <c r="E393">
        <v>659213.84</v>
      </c>
      <c r="F393">
        <v>110</v>
      </c>
      <c r="G393">
        <v>72513522.400000006</v>
      </c>
      <c r="H393" t="s">
        <v>1017</v>
      </c>
    </row>
    <row r="394" spans="1:8" x14ac:dyDescent="0.25">
      <c r="A394" t="s">
        <v>1198</v>
      </c>
      <c r="B394" t="s">
        <v>331</v>
      </c>
      <c r="C394" t="s">
        <v>332</v>
      </c>
      <c r="D394" t="s">
        <v>26</v>
      </c>
      <c r="E394">
        <v>412678.07</v>
      </c>
      <c r="F394">
        <v>116</v>
      </c>
      <c r="G394">
        <v>47870656.119999997</v>
      </c>
      <c r="H394" t="s">
        <v>1017</v>
      </c>
    </row>
    <row r="395" spans="1:8" x14ac:dyDescent="0.25">
      <c r="A395" t="s">
        <v>1199</v>
      </c>
      <c r="B395" t="s">
        <v>69</v>
      </c>
      <c r="C395" t="s">
        <v>70</v>
      </c>
      <c r="D395" t="s">
        <v>26</v>
      </c>
      <c r="E395">
        <v>2836138.21</v>
      </c>
      <c r="F395">
        <v>19</v>
      </c>
      <c r="G395">
        <v>53886625.990000002</v>
      </c>
      <c r="H395" t="s">
        <v>1017</v>
      </c>
    </row>
    <row r="396" spans="1:8" x14ac:dyDescent="0.25">
      <c r="A396" t="s">
        <v>1200</v>
      </c>
      <c r="B396" t="s">
        <v>513</v>
      </c>
      <c r="C396" t="s">
        <v>514</v>
      </c>
      <c r="D396" t="s">
        <v>26</v>
      </c>
      <c r="E396">
        <v>2263907.83</v>
      </c>
      <c r="F396">
        <v>41</v>
      </c>
      <c r="G396">
        <v>92820221.030000001</v>
      </c>
      <c r="H396" t="s">
        <v>1017</v>
      </c>
    </row>
    <row r="397" spans="1:8" x14ac:dyDescent="0.25">
      <c r="A397" t="s">
        <v>1201</v>
      </c>
      <c r="B397" t="s">
        <v>261</v>
      </c>
      <c r="C397" t="s">
        <v>262</v>
      </c>
      <c r="D397" t="s">
        <v>10</v>
      </c>
      <c r="E397">
        <v>1462888.35</v>
      </c>
      <c r="F397">
        <v>118</v>
      </c>
      <c r="G397">
        <v>172620825.30000001</v>
      </c>
      <c r="H397" t="s">
        <v>1017</v>
      </c>
    </row>
    <row r="398" spans="1:8" x14ac:dyDescent="0.25">
      <c r="A398" t="s">
        <v>1201</v>
      </c>
      <c r="B398" t="s">
        <v>313</v>
      </c>
      <c r="C398" t="s">
        <v>314</v>
      </c>
      <c r="D398" t="s">
        <v>26</v>
      </c>
      <c r="E398">
        <v>1333884.1299999999</v>
      </c>
      <c r="F398">
        <v>14</v>
      </c>
      <c r="G398">
        <v>18674377.82</v>
      </c>
      <c r="H398" t="s">
        <v>1017</v>
      </c>
    </row>
    <row r="399" spans="1:8" x14ac:dyDescent="0.25">
      <c r="A399" t="s">
        <v>1201</v>
      </c>
      <c r="B399" t="s">
        <v>799</v>
      </c>
      <c r="C399" t="s">
        <v>800</v>
      </c>
      <c r="D399" t="s">
        <v>19</v>
      </c>
      <c r="E399">
        <v>683472.64</v>
      </c>
      <c r="F399">
        <v>93</v>
      </c>
      <c r="G399">
        <v>63562955.520000003</v>
      </c>
      <c r="H399" t="s">
        <v>1017</v>
      </c>
    </row>
    <row r="400" spans="1:8" x14ac:dyDescent="0.25">
      <c r="A400" t="s">
        <v>1201</v>
      </c>
      <c r="B400" t="s">
        <v>571</v>
      </c>
      <c r="C400" t="s">
        <v>572</v>
      </c>
      <c r="D400" t="s">
        <v>26</v>
      </c>
      <c r="E400">
        <v>1998643.46</v>
      </c>
      <c r="F400">
        <v>83</v>
      </c>
      <c r="G400">
        <v>165887407.18000001</v>
      </c>
      <c r="H400" t="s">
        <v>1017</v>
      </c>
    </row>
    <row r="401" spans="1:8" x14ac:dyDescent="0.25">
      <c r="A401" t="s">
        <v>1201</v>
      </c>
      <c r="B401" t="s">
        <v>211</v>
      </c>
      <c r="C401" t="s">
        <v>212</v>
      </c>
      <c r="D401" t="s">
        <v>10</v>
      </c>
      <c r="E401">
        <v>1382180.1</v>
      </c>
      <c r="F401">
        <v>38</v>
      </c>
      <c r="G401">
        <v>52522843.799999997</v>
      </c>
      <c r="H401" t="s">
        <v>1017</v>
      </c>
    </row>
    <row r="402" spans="1:8" x14ac:dyDescent="0.25">
      <c r="A402" t="s">
        <v>1201</v>
      </c>
      <c r="B402" t="s">
        <v>555</v>
      </c>
      <c r="C402" t="s">
        <v>556</v>
      </c>
      <c r="D402" t="s">
        <v>10</v>
      </c>
      <c r="E402">
        <v>309774.09000000003</v>
      </c>
      <c r="F402">
        <v>9</v>
      </c>
      <c r="G402">
        <v>2787966.81</v>
      </c>
      <c r="H402" t="s">
        <v>1017</v>
      </c>
    </row>
    <row r="403" spans="1:8" x14ac:dyDescent="0.25">
      <c r="A403" t="s">
        <v>1201</v>
      </c>
      <c r="B403" t="s">
        <v>837</v>
      </c>
      <c r="C403" t="s">
        <v>838</v>
      </c>
      <c r="D403" t="s">
        <v>26</v>
      </c>
      <c r="E403">
        <v>3511769.34</v>
      </c>
      <c r="F403">
        <v>104</v>
      </c>
      <c r="G403">
        <v>365224011.36000001</v>
      </c>
      <c r="H403" t="s">
        <v>1017</v>
      </c>
    </row>
    <row r="404" spans="1:8" x14ac:dyDescent="0.25">
      <c r="A404" t="s">
        <v>1202</v>
      </c>
      <c r="B404" t="s">
        <v>571</v>
      </c>
      <c r="C404" t="s">
        <v>572</v>
      </c>
      <c r="D404" t="s">
        <v>26</v>
      </c>
      <c r="E404">
        <v>1958738.8</v>
      </c>
      <c r="F404">
        <v>88</v>
      </c>
      <c r="G404">
        <v>172369014.40000001</v>
      </c>
      <c r="H404" t="s">
        <v>1017</v>
      </c>
    </row>
    <row r="405" spans="1:8" x14ac:dyDescent="0.25">
      <c r="A405" t="s">
        <v>1202</v>
      </c>
      <c r="B405" t="s">
        <v>973</v>
      </c>
      <c r="C405" t="s">
        <v>974</v>
      </c>
      <c r="D405" t="s">
        <v>14</v>
      </c>
      <c r="E405">
        <v>82453.02</v>
      </c>
      <c r="F405">
        <v>21</v>
      </c>
      <c r="G405">
        <v>1731513.42</v>
      </c>
      <c r="H405" t="s">
        <v>1017</v>
      </c>
    </row>
    <row r="406" spans="1:8" x14ac:dyDescent="0.25">
      <c r="A406" t="s">
        <v>1202</v>
      </c>
      <c r="B406" t="s">
        <v>517</v>
      </c>
      <c r="C406" t="s">
        <v>518</v>
      </c>
      <c r="D406" t="s">
        <v>26</v>
      </c>
      <c r="E406">
        <v>2676114.41</v>
      </c>
      <c r="F406">
        <v>55</v>
      </c>
      <c r="G406">
        <v>147186292.55000001</v>
      </c>
      <c r="H406" t="s">
        <v>1017</v>
      </c>
    </row>
    <row r="407" spans="1:8" x14ac:dyDescent="0.25">
      <c r="A407" t="s">
        <v>1202</v>
      </c>
      <c r="B407" t="s">
        <v>757</v>
      </c>
      <c r="C407" t="s">
        <v>758</v>
      </c>
      <c r="D407" t="s">
        <v>14</v>
      </c>
      <c r="E407">
        <v>169858.29</v>
      </c>
      <c r="F407">
        <v>81</v>
      </c>
      <c r="G407">
        <v>13758521.49</v>
      </c>
      <c r="H407" t="s">
        <v>1017</v>
      </c>
    </row>
    <row r="408" spans="1:8" x14ac:dyDescent="0.25">
      <c r="A408" t="s">
        <v>1203</v>
      </c>
      <c r="B408" t="s">
        <v>583</v>
      </c>
      <c r="C408" t="s">
        <v>584</v>
      </c>
      <c r="D408" t="s">
        <v>10</v>
      </c>
      <c r="E408">
        <v>872174.16</v>
      </c>
      <c r="F408">
        <v>9</v>
      </c>
      <c r="G408">
        <v>7849567.4400000004</v>
      </c>
      <c r="H408" t="s">
        <v>1017</v>
      </c>
    </row>
    <row r="409" spans="1:8" x14ac:dyDescent="0.25">
      <c r="A409" t="s">
        <v>1203</v>
      </c>
      <c r="B409" t="s">
        <v>573</v>
      </c>
      <c r="C409" t="s">
        <v>574</v>
      </c>
      <c r="D409" t="s">
        <v>19</v>
      </c>
      <c r="E409">
        <v>1408105.48</v>
      </c>
      <c r="F409">
        <v>60</v>
      </c>
      <c r="G409">
        <v>84486328.799999997</v>
      </c>
      <c r="H409" t="s">
        <v>1017</v>
      </c>
    </row>
    <row r="410" spans="1:8" x14ac:dyDescent="0.25">
      <c r="A410" t="s">
        <v>1204</v>
      </c>
      <c r="B410" t="s">
        <v>409</v>
      </c>
      <c r="C410" t="s">
        <v>410</v>
      </c>
      <c r="D410" t="s">
        <v>10</v>
      </c>
      <c r="E410">
        <v>1347803.26</v>
      </c>
      <c r="F410">
        <v>103</v>
      </c>
      <c r="G410">
        <v>138823735.78</v>
      </c>
      <c r="H410" t="s">
        <v>1017</v>
      </c>
    </row>
    <row r="411" spans="1:8" x14ac:dyDescent="0.25">
      <c r="A411" t="s">
        <v>1204</v>
      </c>
      <c r="B411" t="s">
        <v>601</v>
      </c>
      <c r="C411" t="s">
        <v>602</v>
      </c>
      <c r="D411" t="s">
        <v>14</v>
      </c>
      <c r="E411">
        <v>624489.76</v>
      </c>
      <c r="F411">
        <v>107</v>
      </c>
      <c r="G411">
        <v>66820404.32</v>
      </c>
      <c r="H411" t="s">
        <v>1017</v>
      </c>
    </row>
    <row r="412" spans="1:8" x14ac:dyDescent="0.25">
      <c r="A412" t="s">
        <v>1204</v>
      </c>
      <c r="B412" t="s">
        <v>255</v>
      </c>
      <c r="C412" t="s">
        <v>256</v>
      </c>
      <c r="D412" t="s">
        <v>19</v>
      </c>
      <c r="E412">
        <v>812060</v>
      </c>
      <c r="F412">
        <v>20</v>
      </c>
      <c r="G412">
        <v>16241200</v>
      </c>
      <c r="H412" t="s">
        <v>1017</v>
      </c>
    </row>
    <row r="413" spans="1:8" x14ac:dyDescent="0.25">
      <c r="A413" t="s">
        <v>1204</v>
      </c>
      <c r="B413" t="s">
        <v>209</v>
      </c>
      <c r="C413" t="s">
        <v>210</v>
      </c>
      <c r="D413" t="s">
        <v>10</v>
      </c>
      <c r="E413">
        <v>972168.38</v>
      </c>
      <c r="F413">
        <v>97</v>
      </c>
      <c r="G413">
        <v>94300332.859999999</v>
      </c>
      <c r="H413" t="s">
        <v>1017</v>
      </c>
    </row>
    <row r="414" spans="1:8" x14ac:dyDescent="0.25">
      <c r="A414" t="s">
        <v>1205</v>
      </c>
      <c r="B414" t="s">
        <v>139</v>
      </c>
      <c r="C414" t="s">
        <v>140</v>
      </c>
      <c r="D414" t="s">
        <v>26</v>
      </c>
      <c r="E414">
        <v>3174516.8</v>
      </c>
      <c r="F414">
        <v>7</v>
      </c>
      <c r="G414">
        <v>22221617.600000001</v>
      </c>
      <c r="H414" t="s">
        <v>1017</v>
      </c>
    </row>
    <row r="415" spans="1:8" x14ac:dyDescent="0.25">
      <c r="A415" t="s">
        <v>1206</v>
      </c>
      <c r="B415" t="s">
        <v>647</v>
      </c>
      <c r="C415" t="s">
        <v>648</v>
      </c>
      <c r="D415" t="s">
        <v>19</v>
      </c>
      <c r="E415">
        <v>1805616.96</v>
      </c>
      <c r="F415">
        <v>118</v>
      </c>
      <c r="G415">
        <v>213062801.28</v>
      </c>
      <c r="H415" t="s">
        <v>1017</v>
      </c>
    </row>
    <row r="416" spans="1:8" x14ac:dyDescent="0.25">
      <c r="A416" t="s">
        <v>1206</v>
      </c>
      <c r="B416" t="s">
        <v>15</v>
      </c>
      <c r="C416" t="s">
        <v>16</v>
      </c>
      <c r="D416" t="s">
        <v>10</v>
      </c>
      <c r="E416">
        <v>1557809.51</v>
      </c>
      <c r="F416">
        <v>52</v>
      </c>
      <c r="G416">
        <v>81006094.519999996</v>
      </c>
      <c r="H416" t="s">
        <v>1017</v>
      </c>
    </row>
    <row r="417" spans="1:8" x14ac:dyDescent="0.25">
      <c r="A417" t="s">
        <v>1207</v>
      </c>
      <c r="B417" t="s">
        <v>479</v>
      </c>
      <c r="C417" t="s">
        <v>480</v>
      </c>
      <c r="D417" t="s">
        <v>26</v>
      </c>
      <c r="E417">
        <v>3336029.7</v>
      </c>
      <c r="F417">
        <v>16</v>
      </c>
      <c r="G417">
        <v>53376475.200000003</v>
      </c>
      <c r="H417" t="s">
        <v>1017</v>
      </c>
    </row>
    <row r="418" spans="1:8" x14ac:dyDescent="0.25">
      <c r="A418" t="s">
        <v>1207</v>
      </c>
      <c r="B418" t="s">
        <v>999</v>
      </c>
      <c r="C418" t="s">
        <v>1000</v>
      </c>
      <c r="D418" t="s">
        <v>26</v>
      </c>
      <c r="E418">
        <v>491111.83</v>
      </c>
      <c r="F418">
        <v>103</v>
      </c>
      <c r="G418">
        <v>50584518.490000002</v>
      </c>
      <c r="H418" t="s">
        <v>1017</v>
      </c>
    </row>
    <row r="419" spans="1:8" x14ac:dyDescent="0.25">
      <c r="A419" t="s">
        <v>1207</v>
      </c>
      <c r="B419" t="s">
        <v>295</v>
      </c>
      <c r="C419" t="s">
        <v>296</v>
      </c>
      <c r="D419" t="s">
        <v>19</v>
      </c>
      <c r="E419">
        <v>638934.01</v>
      </c>
      <c r="F419">
        <v>59</v>
      </c>
      <c r="G419">
        <v>37697106.590000004</v>
      </c>
      <c r="H419" t="s">
        <v>1017</v>
      </c>
    </row>
    <row r="420" spans="1:8" x14ac:dyDescent="0.25">
      <c r="A420" t="s">
        <v>1208</v>
      </c>
      <c r="B420" t="s">
        <v>729</v>
      </c>
      <c r="C420" t="s">
        <v>730</v>
      </c>
      <c r="D420" t="s">
        <v>10</v>
      </c>
      <c r="E420">
        <v>336598.89</v>
      </c>
      <c r="F420">
        <v>28</v>
      </c>
      <c r="G420">
        <v>9424768.9199999999</v>
      </c>
      <c r="H420" t="s">
        <v>1017</v>
      </c>
    </row>
    <row r="421" spans="1:8" x14ac:dyDescent="0.25">
      <c r="A421" t="s">
        <v>1209</v>
      </c>
      <c r="B421" t="s">
        <v>325</v>
      </c>
      <c r="C421" t="s">
        <v>326</v>
      </c>
      <c r="D421" t="s">
        <v>19</v>
      </c>
      <c r="E421">
        <v>451260.43</v>
      </c>
      <c r="F421">
        <v>54</v>
      </c>
      <c r="G421">
        <v>24368063.219999999</v>
      </c>
      <c r="H421" t="s">
        <v>1017</v>
      </c>
    </row>
    <row r="422" spans="1:8" x14ac:dyDescent="0.25">
      <c r="A422" t="s">
        <v>1210</v>
      </c>
      <c r="B422" t="s">
        <v>139</v>
      </c>
      <c r="C422" t="s">
        <v>140</v>
      </c>
      <c r="D422" t="s">
        <v>26</v>
      </c>
      <c r="E422">
        <v>3083063.24</v>
      </c>
      <c r="F422">
        <v>78</v>
      </c>
      <c r="G422">
        <v>240478932.72</v>
      </c>
      <c r="H422" t="s">
        <v>1017</v>
      </c>
    </row>
    <row r="423" spans="1:8" x14ac:dyDescent="0.25">
      <c r="A423" t="s">
        <v>1210</v>
      </c>
      <c r="B423" t="s">
        <v>493</v>
      </c>
      <c r="C423" t="s">
        <v>494</v>
      </c>
      <c r="D423" t="s">
        <v>19</v>
      </c>
      <c r="E423">
        <v>970754.24</v>
      </c>
      <c r="F423">
        <v>21</v>
      </c>
      <c r="G423">
        <v>20385839.039999999</v>
      </c>
      <c r="H423" t="s">
        <v>1017</v>
      </c>
    </row>
    <row r="424" spans="1:8" x14ac:dyDescent="0.25">
      <c r="A424" t="s">
        <v>1210</v>
      </c>
      <c r="B424" t="s">
        <v>267</v>
      </c>
      <c r="C424" t="s">
        <v>268</v>
      </c>
      <c r="D424" t="s">
        <v>14</v>
      </c>
      <c r="E424">
        <v>564992.56000000006</v>
      </c>
      <c r="F424">
        <v>96</v>
      </c>
      <c r="G424">
        <v>54239285.759999998</v>
      </c>
      <c r="H424" t="s">
        <v>1017</v>
      </c>
    </row>
    <row r="425" spans="1:8" x14ac:dyDescent="0.25">
      <c r="A425" t="s">
        <v>1211</v>
      </c>
      <c r="B425" t="s">
        <v>855</v>
      </c>
      <c r="C425" t="s">
        <v>856</v>
      </c>
      <c r="D425" t="s">
        <v>14</v>
      </c>
      <c r="E425">
        <v>477280.94</v>
      </c>
      <c r="F425">
        <v>103</v>
      </c>
      <c r="G425">
        <v>49159936.82</v>
      </c>
      <c r="H425" t="s">
        <v>1017</v>
      </c>
    </row>
    <row r="426" spans="1:8" x14ac:dyDescent="0.25">
      <c r="A426" t="s">
        <v>1211</v>
      </c>
      <c r="B426" t="s">
        <v>443</v>
      </c>
      <c r="C426" t="s">
        <v>444</v>
      </c>
      <c r="D426" t="s">
        <v>10</v>
      </c>
      <c r="E426">
        <v>1538332.72</v>
      </c>
      <c r="F426">
        <v>100</v>
      </c>
      <c r="G426">
        <v>153833272</v>
      </c>
      <c r="H426" t="s">
        <v>1017</v>
      </c>
    </row>
    <row r="427" spans="1:8" x14ac:dyDescent="0.25">
      <c r="A427" t="s">
        <v>1212</v>
      </c>
      <c r="B427" t="s">
        <v>267</v>
      </c>
      <c r="C427" t="s">
        <v>268</v>
      </c>
      <c r="D427" t="s">
        <v>14</v>
      </c>
      <c r="E427">
        <v>619477.44999999995</v>
      </c>
      <c r="F427">
        <v>110</v>
      </c>
      <c r="G427">
        <v>68142519.5</v>
      </c>
      <c r="H427" t="s">
        <v>1017</v>
      </c>
    </row>
    <row r="428" spans="1:8" x14ac:dyDescent="0.25">
      <c r="A428" t="s">
        <v>1212</v>
      </c>
      <c r="B428" t="s">
        <v>543</v>
      </c>
      <c r="C428" t="s">
        <v>544</v>
      </c>
      <c r="D428" t="s">
        <v>10</v>
      </c>
      <c r="E428">
        <v>1227315.25</v>
      </c>
      <c r="F428">
        <v>84</v>
      </c>
      <c r="G428">
        <v>103094481</v>
      </c>
      <c r="H428" t="s">
        <v>1017</v>
      </c>
    </row>
    <row r="429" spans="1:8" x14ac:dyDescent="0.25">
      <c r="A429" t="s">
        <v>1212</v>
      </c>
      <c r="B429" t="s">
        <v>197</v>
      </c>
      <c r="C429" t="s">
        <v>198</v>
      </c>
      <c r="D429" t="s">
        <v>10</v>
      </c>
      <c r="E429">
        <v>216464.56</v>
      </c>
      <c r="F429">
        <v>95</v>
      </c>
      <c r="G429">
        <v>20564133.199999999</v>
      </c>
      <c r="H429" t="s">
        <v>1017</v>
      </c>
    </row>
    <row r="430" spans="1:8" x14ac:dyDescent="0.25">
      <c r="A430" t="s">
        <v>1213</v>
      </c>
      <c r="B430" t="s">
        <v>757</v>
      </c>
      <c r="C430" t="s">
        <v>758</v>
      </c>
      <c r="D430" t="s">
        <v>14</v>
      </c>
      <c r="E430">
        <v>167476.18</v>
      </c>
      <c r="F430">
        <v>44</v>
      </c>
      <c r="G430">
        <v>7368951.9199999999</v>
      </c>
      <c r="H430" t="s">
        <v>1017</v>
      </c>
    </row>
    <row r="431" spans="1:8" x14ac:dyDescent="0.25">
      <c r="A431" t="s">
        <v>1213</v>
      </c>
      <c r="B431" t="s">
        <v>121</v>
      </c>
      <c r="C431" t="s">
        <v>122</v>
      </c>
      <c r="D431" t="s">
        <v>26</v>
      </c>
      <c r="E431">
        <v>3632288.4</v>
      </c>
      <c r="F431">
        <v>36</v>
      </c>
      <c r="G431">
        <v>130762382.40000001</v>
      </c>
      <c r="H431" t="s">
        <v>1017</v>
      </c>
    </row>
    <row r="432" spans="1:8" x14ac:dyDescent="0.25">
      <c r="A432" t="s">
        <v>1214</v>
      </c>
      <c r="B432" t="s">
        <v>857</v>
      </c>
      <c r="C432" t="s">
        <v>858</v>
      </c>
      <c r="D432" t="s">
        <v>10</v>
      </c>
      <c r="E432">
        <v>556686.89</v>
      </c>
      <c r="F432">
        <v>77</v>
      </c>
      <c r="G432">
        <v>42864890.530000001</v>
      </c>
      <c r="H432" t="s">
        <v>1017</v>
      </c>
    </row>
    <row r="433" spans="1:8" x14ac:dyDescent="0.25">
      <c r="A433" t="s">
        <v>1215</v>
      </c>
      <c r="B433" t="s">
        <v>677</v>
      </c>
      <c r="C433" t="s">
        <v>678</v>
      </c>
      <c r="D433" t="s">
        <v>26</v>
      </c>
      <c r="E433">
        <v>494932.16</v>
      </c>
      <c r="F433">
        <v>37</v>
      </c>
      <c r="G433">
        <v>18312489.920000002</v>
      </c>
      <c r="H433" t="s">
        <v>1017</v>
      </c>
    </row>
    <row r="434" spans="1:8" x14ac:dyDescent="0.25">
      <c r="A434" t="s">
        <v>1215</v>
      </c>
      <c r="B434" t="s">
        <v>135</v>
      </c>
      <c r="C434" t="s">
        <v>136</v>
      </c>
      <c r="D434" t="s">
        <v>14</v>
      </c>
      <c r="E434">
        <v>1158859.72</v>
      </c>
      <c r="F434">
        <v>115</v>
      </c>
      <c r="G434">
        <v>133268867.8</v>
      </c>
      <c r="H434" t="s">
        <v>1017</v>
      </c>
    </row>
    <row r="435" spans="1:8" x14ac:dyDescent="0.25">
      <c r="A435" t="s">
        <v>1216</v>
      </c>
      <c r="B435" t="s">
        <v>531</v>
      </c>
      <c r="C435" t="s">
        <v>532</v>
      </c>
      <c r="D435" t="s">
        <v>14</v>
      </c>
      <c r="E435">
        <v>491163.49</v>
      </c>
      <c r="F435">
        <v>89</v>
      </c>
      <c r="G435">
        <v>43713550.609999999</v>
      </c>
      <c r="H435" t="s">
        <v>1017</v>
      </c>
    </row>
    <row r="436" spans="1:8" x14ac:dyDescent="0.25">
      <c r="A436" t="s">
        <v>1216</v>
      </c>
      <c r="B436" t="s">
        <v>171</v>
      </c>
      <c r="C436" t="s">
        <v>172</v>
      </c>
      <c r="D436" t="s">
        <v>14</v>
      </c>
      <c r="E436">
        <v>639400.86</v>
      </c>
      <c r="F436">
        <v>2</v>
      </c>
      <c r="G436">
        <v>1278801.72</v>
      </c>
      <c r="H436" t="s">
        <v>1017</v>
      </c>
    </row>
    <row r="437" spans="1:8" x14ac:dyDescent="0.25">
      <c r="A437" t="s">
        <v>1217</v>
      </c>
      <c r="B437" t="s">
        <v>317</v>
      </c>
      <c r="C437" t="s">
        <v>318</v>
      </c>
      <c r="D437" t="s">
        <v>26</v>
      </c>
      <c r="E437">
        <v>2013836.9</v>
      </c>
      <c r="F437">
        <v>102</v>
      </c>
      <c r="G437">
        <v>205411363.80000001</v>
      </c>
      <c r="H437" t="s">
        <v>1017</v>
      </c>
    </row>
    <row r="438" spans="1:8" x14ac:dyDescent="0.25">
      <c r="A438" t="s">
        <v>1217</v>
      </c>
      <c r="B438" t="s">
        <v>421</v>
      </c>
      <c r="C438" t="s">
        <v>422</v>
      </c>
      <c r="D438" t="s">
        <v>14</v>
      </c>
      <c r="E438">
        <v>485217.82</v>
      </c>
      <c r="F438">
        <v>107</v>
      </c>
      <c r="G438">
        <v>51918306.740000002</v>
      </c>
      <c r="H438" t="s">
        <v>1017</v>
      </c>
    </row>
    <row r="439" spans="1:8" x14ac:dyDescent="0.25">
      <c r="A439" t="s">
        <v>1218</v>
      </c>
      <c r="B439" t="s">
        <v>883</v>
      </c>
      <c r="C439" t="s">
        <v>884</v>
      </c>
      <c r="D439" t="s">
        <v>14</v>
      </c>
      <c r="E439">
        <v>841188.42</v>
      </c>
      <c r="F439">
        <v>90</v>
      </c>
      <c r="G439">
        <v>75706957.799999997</v>
      </c>
      <c r="H439" t="s">
        <v>1017</v>
      </c>
    </row>
    <row r="440" spans="1:8" x14ac:dyDescent="0.25">
      <c r="A440" t="s">
        <v>1219</v>
      </c>
      <c r="B440" t="s">
        <v>305</v>
      </c>
      <c r="C440" t="s">
        <v>306</v>
      </c>
      <c r="D440" t="s">
        <v>10</v>
      </c>
      <c r="E440">
        <v>1319652.82</v>
      </c>
      <c r="F440">
        <v>96</v>
      </c>
      <c r="G440">
        <v>126686670.72</v>
      </c>
      <c r="H440" t="s">
        <v>1017</v>
      </c>
    </row>
    <row r="441" spans="1:8" x14ac:dyDescent="0.25">
      <c r="A441" t="s">
        <v>1219</v>
      </c>
      <c r="B441" t="s">
        <v>63</v>
      </c>
      <c r="C441" t="s">
        <v>64</v>
      </c>
      <c r="D441" t="s">
        <v>19</v>
      </c>
      <c r="E441">
        <v>1368507.1</v>
      </c>
      <c r="F441">
        <v>76</v>
      </c>
      <c r="G441">
        <v>104006539.59999999</v>
      </c>
      <c r="H441" t="s">
        <v>1017</v>
      </c>
    </row>
    <row r="442" spans="1:8" x14ac:dyDescent="0.25">
      <c r="A442" t="s">
        <v>1219</v>
      </c>
      <c r="B442" t="s">
        <v>69</v>
      </c>
      <c r="C442" t="s">
        <v>70</v>
      </c>
      <c r="D442" t="s">
        <v>26</v>
      </c>
      <c r="E442">
        <v>2788456.86</v>
      </c>
      <c r="F442">
        <v>21</v>
      </c>
      <c r="G442">
        <v>58557594.060000002</v>
      </c>
      <c r="H442" t="s">
        <v>1017</v>
      </c>
    </row>
    <row r="443" spans="1:8" x14ac:dyDescent="0.25">
      <c r="A443" t="s">
        <v>1219</v>
      </c>
      <c r="B443" t="s">
        <v>349</v>
      </c>
      <c r="C443" t="s">
        <v>350</v>
      </c>
      <c r="D443" t="s">
        <v>19</v>
      </c>
      <c r="E443">
        <v>1378085.07</v>
      </c>
      <c r="F443">
        <v>21</v>
      </c>
      <c r="G443">
        <v>28939786.469999999</v>
      </c>
      <c r="H443" t="s">
        <v>1017</v>
      </c>
    </row>
    <row r="444" spans="1:8" x14ac:dyDescent="0.25">
      <c r="A444" t="s">
        <v>1219</v>
      </c>
      <c r="B444" t="s">
        <v>453</v>
      </c>
      <c r="C444" t="s">
        <v>454</v>
      </c>
      <c r="D444" t="s">
        <v>19</v>
      </c>
      <c r="E444">
        <v>1320442.7</v>
      </c>
      <c r="F444">
        <v>98</v>
      </c>
      <c r="G444">
        <v>129403384.59999999</v>
      </c>
      <c r="H444" t="s">
        <v>1017</v>
      </c>
    </row>
    <row r="445" spans="1:8" x14ac:dyDescent="0.25">
      <c r="A445" t="s">
        <v>1219</v>
      </c>
      <c r="B445" t="s">
        <v>927</v>
      </c>
      <c r="C445" t="s">
        <v>928</v>
      </c>
      <c r="D445" t="s">
        <v>10</v>
      </c>
      <c r="E445">
        <v>1340933.8999999999</v>
      </c>
      <c r="F445">
        <v>92</v>
      </c>
      <c r="G445">
        <v>123365918.8</v>
      </c>
      <c r="H445" t="s">
        <v>1017</v>
      </c>
    </row>
    <row r="446" spans="1:8" x14ac:dyDescent="0.25">
      <c r="A446" t="s">
        <v>1220</v>
      </c>
      <c r="B446" t="s">
        <v>765</v>
      </c>
      <c r="C446" t="s">
        <v>766</v>
      </c>
      <c r="D446" t="s">
        <v>14</v>
      </c>
      <c r="E446">
        <v>776160.82</v>
      </c>
      <c r="F446">
        <v>43</v>
      </c>
      <c r="G446">
        <v>33374915.260000002</v>
      </c>
      <c r="H446" t="s">
        <v>1017</v>
      </c>
    </row>
    <row r="447" spans="1:8" x14ac:dyDescent="0.25">
      <c r="A447" t="s">
        <v>1220</v>
      </c>
      <c r="B447" t="s">
        <v>425</v>
      </c>
      <c r="C447" t="s">
        <v>426</v>
      </c>
      <c r="D447" t="s">
        <v>14</v>
      </c>
      <c r="E447">
        <v>664670.44999999995</v>
      </c>
      <c r="F447">
        <v>34</v>
      </c>
      <c r="G447">
        <v>22598795.300000001</v>
      </c>
      <c r="H447" t="s">
        <v>1017</v>
      </c>
    </row>
    <row r="448" spans="1:8" x14ac:dyDescent="0.25">
      <c r="A448" t="s">
        <v>1220</v>
      </c>
      <c r="B448" t="s">
        <v>131</v>
      </c>
      <c r="C448" t="s">
        <v>132</v>
      </c>
      <c r="D448" t="s">
        <v>26</v>
      </c>
      <c r="E448">
        <v>2467332.6</v>
      </c>
      <c r="F448">
        <v>47</v>
      </c>
      <c r="G448">
        <v>115964632.2</v>
      </c>
      <c r="H448" t="s">
        <v>1017</v>
      </c>
    </row>
    <row r="449" spans="1:8" x14ac:dyDescent="0.25">
      <c r="A449" t="s">
        <v>1221</v>
      </c>
      <c r="B449" t="s">
        <v>257</v>
      </c>
      <c r="C449" t="s">
        <v>258</v>
      </c>
      <c r="D449" t="s">
        <v>10</v>
      </c>
      <c r="E449">
        <v>1322544.33</v>
      </c>
      <c r="F449">
        <v>94</v>
      </c>
      <c r="G449">
        <v>124319167.02</v>
      </c>
      <c r="H449" t="s">
        <v>1017</v>
      </c>
    </row>
    <row r="450" spans="1:8" x14ac:dyDescent="0.25">
      <c r="A450" t="s">
        <v>1221</v>
      </c>
      <c r="B450" t="s">
        <v>461</v>
      </c>
      <c r="C450" t="s">
        <v>462</v>
      </c>
      <c r="D450" t="s">
        <v>14</v>
      </c>
      <c r="E450">
        <v>716804.58</v>
      </c>
      <c r="F450">
        <v>80</v>
      </c>
      <c r="G450">
        <v>57344366.399999999</v>
      </c>
      <c r="H450" t="s">
        <v>1017</v>
      </c>
    </row>
    <row r="451" spans="1:8" x14ac:dyDescent="0.25">
      <c r="A451" t="s">
        <v>1221</v>
      </c>
      <c r="B451" t="s">
        <v>627</v>
      </c>
      <c r="C451" t="s">
        <v>628</v>
      </c>
      <c r="D451" t="s">
        <v>19</v>
      </c>
      <c r="E451">
        <v>1329167.03</v>
      </c>
      <c r="F451">
        <v>118</v>
      </c>
      <c r="G451">
        <v>156841709.53999999</v>
      </c>
      <c r="H451" t="s">
        <v>1017</v>
      </c>
    </row>
    <row r="452" spans="1:8" x14ac:dyDescent="0.25">
      <c r="A452" t="s">
        <v>1221</v>
      </c>
      <c r="B452" t="s">
        <v>133</v>
      </c>
      <c r="C452" t="s">
        <v>134</v>
      </c>
      <c r="D452" t="s">
        <v>14</v>
      </c>
      <c r="E452">
        <v>883510.67</v>
      </c>
      <c r="F452">
        <v>99</v>
      </c>
      <c r="G452">
        <v>87467556.329999998</v>
      </c>
      <c r="H452" t="s">
        <v>1017</v>
      </c>
    </row>
    <row r="453" spans="1:8" x14ac:dyDescent="0.25">
      <c r="A453" t="s">
        <v>1221</v>
      </c>
      <c r="B453" t="s">
        <v>553</v>
      </c>
      <c r="C453" t="s">
        <v>554</v>
      </c>
      <c r="D453" t="s">
        <v>19</v>
      </c>
      <c r="E453">
        <v>128124.32</v>
      </c>
      <c r="F453">
        <v>114</v>
      </c>
      <c r="G453">
        <v>14606172.48</v>
      </c>
      <c r="H453" t="s">
        <v>1017</v>
      </c>
    </row>
    <row r="454" spans="1:8" x14ac:dyDescent="0.25">
      <c r="A454" t="s">
        <v>1221</v>
      </c>
      <c r="B454" t="s">
        <v>577</v>
      </c>
      <c r="C454" t="s">
        <v>578</v>
      </c>
      <c r="D454" t="s">
        <v>19</v>
      </c>
      <c r="E454">
        <v>994735.75</v>
      </c>
      <c r="F454">
        <v>93</v>
      </c>
      <c r="G454">
        <v>92510424.75</v>
      </c>
      <c r="H454" t="s">
        <v>1017</v>
      </c>
    </row>
    <row r="455" spans="1:8" x14ac:dyDescent="0.25">
      <c r="A455" t="s">
        <v>1222</v>
      </c>
      <c r="B455" t="s">
        <v>139</v>
      </c>
      <c r="C455" t="s">
        <v>140</v>
      </c>
      <c r="D455" t="s">
        <v>26</v>
      </c>
      <c r="E455">
        <v>3098287.66</v>
      </c>
      <c r="F455">
        <v>43</v>
      </c>
      <c r="G455">
        <v>133226369.38</v>
      </c>
      <c r="H455" t="s">
        <v>1017</v>
      </c>
    </row>
    <row r="456" spans="1:8" x14ac:dyDescent="0.25">
      <c r="A456" t="s">
        <v>1222</v>
      </c>
      <c r="B456" t="s">
        <v>207</v>
      </c>
      <c r="C456" t="s">
        <v>208</v>
      </c>
      <c r="D456" t="s">
        <v>14</v>
      </c>
      <c r="E456">
        <v>571674.47</v>
      </c>
      <c r="F456">
        <v>96</v>
      </c>
      <c r="G456">
        <v>54880749.119999997</v>
      </c>
      <c r="H456" t="s">
        <v>1017</v>
      </c>
    </row>
    <row r="457" spans="1:8" x14ac:dyDescent="0.25">
      <c r="A457" t="s">
        <v>1223</v>
      </c>
      <c r="B457" t="s">
        <v>893</v>
      </c>
      <c r="C457" t="s">
        <v>894</v>
      </c>
      <c r="D457" t="s">
        <v>19</v>
      </c>
      <c r="E457">
        <v>312516.38</v>
      </c>
      <c r="F457">
        <v>53</v>
      </c>
      <c r="G457">
        <v>16563368.140000001</v>
      </c>
      <c r="H457" t="s">
        <v>1017</v>
      </c>
    </row>
    <row r="458" spans="1:8" x14ac:dyDescent="0.25">
      <c r="A458" t="s">
        <v>1223</v>
      </c>
      <c r="B458" t="s">
        <v>459</v>
      </c>
      <c r="C458" t="s">
        <v>460</v>
      </c>
      <c r="D458" t="s">
        <v>26</v>
      </c>
      <c r="E458">
        <v>2526366.2400000002</v>
      </c>
      <c r="F458">
        <v>22</v>
      </c>
      <c r="G458">
        <v>55580057.280000001</v>
      </c>
      <c r="H458" t="s">
        <v>1017</v>
      </c>
    </row>
    <row r="459" spans="1:8" x14ac:dyDescent="0.25">
      <c r="A459" t="s">
        <v>1223</v>
      </c>
      <c r="B459" t="s">
        <v>17</v>
      </c>
      <c r="C459" t="s">
        <v>18</v>
      </c>
      <c r="D459" t="s">
        <v>19</v>
      </c>
      <c r="E459">
        <v>1352570.09</v>
      </c>
      <c r="F459">
        <v>83</v>
      </c>
      <c r="G459">
        <v>112263317.47</v>
      </c>
      <c r="H459" t="s">
        <v>1017</v>
      </c>
    </row>
    <row r="460" spans="1:8" x14ac:dyDescent="0.25">
      <c r="A460" t="s">
        <v>1223</v>
      </c>
      <c r="B460" t="s">
        <v>607</v>
      </c>
      <c r="C460" t="s">
        <v>608</v>
      </c>
      <c r="D460" t="s">
        <v>19</v>
      </c>
      <c r="E460">
        <v>1938665</v>
      </c>
      <c r="F460">
        <v>111</v>
      </c>
      <c r="G460">
        <v>215191815</v>
      </c>
      <c r="H460" t="s">
        <v>1017</v>
      </c>
    </row>
    <row r="461" spans="1:8" x14ac:dyDescent="0.25">
      <c r="A461" t="s">
        <v>1223</v>
      </c>
      <c r="B461" t="s">
        <v>975</v>
      </c>
      <c r="C461" t="s">
        <v>976</v>
      </c>
      <c r="D461" t="s">
        <v>10</v>
      </c>
      <c r="E461">
        <v>687982.58</v>
      </c>
      <c r="F461">
        <v>55</v>
      </c>
      <c r="G461">
        <v>37839041.899999999</v>
      </c>
      <c r="H461" t="s">
        <v>1017</v>
      </c>
    </row>
    <row r="462" spans="1:8" x14ac:dyDescent="0.25">
      <c r="A462" t="s">
        <v>1224</v>
      </c>
      <c r="B462" t="s">
        <v>77</v>
      </c>
      <c r="C462" t="s">
        <v>78</v>
      </c>
      <c r="D462" t="s">
        <v>10</v>
      </c>
      <c r="E462">
        <v>646482.97</v>
      </c>
      <c r="F462">
        <v>96</v>
      </c>
      <c r="G462">
        <v>62062365.119999997</v>
      </c>
      <c r="H462" t="s">
        <v>1017</v>
      </c>
    </row>
    <row r="463" spans="1:8" x14ac:dyDescent="0.25">
      <c r="A463" t="s">
        <v>1224</v>
      </c>
      <c r="B463" t="s">
        <v>777</v>
      </c>
      <c r="C463" t="s">
        <v>778</v>
      </c>
      <c r="D463" t="s">
        <v>26</v>
      </c>
      <c r="E463">
        <v>2458109.75</v>
      </c>
      <c r="F463">
        <v>40</v>
      </c>
      <c r="G463">
        <v>98324390</v>
      </c>
      <c r="H463" t="s">
        <v>1017</v>
      </c>
    </row>
    <row r="464" spans="1:8" x14ac:dyDescent="0.25">
      <c r="A464" t="s">
        <v>1224</v>
      </c>
      <c r="B464" t="s">
        <v>651</v>
      </c>
      <c r="C464" t="s">
        <v>652</v>
      </c>
      <c r="D464" t="s">
        <v>14</v>
      </c>
      <c r="E464">
        <v>530261.26</v>
      </c>
      <c r="F464">
        <v>90</v>
      </c>
      <c r="G464">
        <v>47723513.399999999</v>
      </c>
      <c r="H464" t="s">
        <v>1017</v>
      </c>
    </row>
    <row r="465" spans="1:8" x14ac:dyDescent="0.25">
      <c r="A465" t="s">
        <v>1225</v>
      </c>
      <c r="B465" t="s">
        <v>145</v>
      </c>
      <c r="C465" t="s">
        <v>146</v>
      </c>
      <c r="D465" t="s">
        <v>19</v>
      </c>
      <c r="E465">
        <v>1417945.52</v>
      </c>
      <c r="F465">
        <v>63</v>
      </c>
      <c r="G465">
        <v>89330567.760000005</v>
      </c>
      <c r="H465" t="s">
        <v>1017</v>
      </c>
    </row>
    <row r="466" spans="1:8" x14ac:dyDescent="0.25">
      <c r="A466" t="s">
        <v>1225</v>
      </c>
      <c r="B466" t="s">
        <v>947</v>
      </c>
      <c r="C466" t="s">
        <v>948</v>
      </c>
      <c r="D466" t="s">
        <v>26</v>
      </c>
      <c r="E466">
        <v>1268531.78</v>
      </c>
      <c r="F466">
        <v>18</v>
      </c>
      <c r="G466">
        <v>22833572.039999999</v>
      </c>
      <c r="H466" t="s">
        <v>1017</v>
      </c>
    </row>
    <row r="467" spans="1:8" x14ac:dyDescent="0.25">
      <c r="A467" t="s">
        <v>1226</v>
      </c>
      <c r="B467" t="s">
        <v>225</v>
      </c>
      <c r="C467" t="s">
        <v>226</v>
      </c>
      <c r="D467" t="s">
        <v>26</v>
      </c>
      <c r="E467">
        <v>1719692.75</v>
      </c>
      <c r="F467">
        <v>97</v>
      </c>
      <c r="G467">
        <v>166810196.75</v>
      </c>
      <c r="H467" t="s">
        <v>1017</v>
      </c>
    </row>
    <row r="468" spans="1:8" x14ac:dyDescent="0.25">
      <c r="A468" t="s">
        <v>1226</v>
      </c>
      <c r="B468" t="s">
        <v>757</v>
      </c>
      <c r="C468" t="s">
        <v>758</v>
      </c>
      <c r="D468" t="s">
        <v>14</v>
      </c>
      <c r="E468">
        <v>170574.91</v>
      </c>
      <c r="F468">
        <v>105</v>
      </c>
      <c r="G468">
        <v>17910365.550000001</v>
      </c>
      <c r="H468" t="s">
        <v>1017</v>
      </c>
    </row>
    <row r="469" spans="1:8" x14ac:dyDescent="0.25">
      <c r="A469" t="s">
        <v>1227</v>
      </c>
      <c r="B469" t="s">
        <v>785</v>
      </c>
      <c r="C469" t="s">
        <v>786</v>
      </c>
      <c r="D469" t="s">
        <v>19</v>
      </c>
      <c r="E469">
        <v>1702091.73</v>
      </c>
      <c r="F469">
        <v>103</v>
      </c>
      <c r="G469">
        <v>175315448.19</v>
      </c>
      <c r="H469" t="s">
        <v>1017</v>
      </c>
    </row>
    <row r="470" spans="1:8" x14ac:dyDescent="0.25">
      <c r="A470" t="s">
        <v>1227</v>
      </c>
      <c r="B470" t="s">
        <v>399</v>
      </c>
      <c r="C470" t="s">
        <v>400</v>
      </c>
      <c r="D470" t="s">
        <v>19</v>
      </c>
      <c r="E470">
        <v>796620.07</v>
      </c>
      <c r="F470">
        <v>24</v>
      </c>
      <c r="G470">
        <v>19118881.68</v>
      </c>
      <c r="H470" t="s">
        <v>1017</v>
      </c>
    </row>
    <row r="471" spans="1:8" x14ac:dyDescent="0.25">
      <c r="A471" t="s">
        <v>1228</v>
      </c>
      <c r="B471" t="s">
        <v>367</v>
      </c>
      <c r="C471" t="s">
        <v>368</v>
      </c>
      <c r="D471" t="s">
        <v>26</v>
      </c>
      <c r="E471">
        <v>2654834.5499999998</v>
      </c>
      <c r="F471">
        <v>57</v>
      </c>
      <c r="G471">
        <v>151325569.34999999</v>
      </c>
      <c r="H471" t="s">
        <v>1017</v>
      </c>
    </row>
    <row r="472" spans="1:8" x14ac:dyDescent="0.25">
      <c r="A472" t="s">
        <v>1229</v>
      </c>
      <c r="B472" t="s">
        <v>887</v>
      </c>
      <c r="C472" t="s">
        <v>888</v>
      </c>
      <c r="D472" t="s">
        <v>19</v>
      </c>
      <c r="E472">
        <v>418230.41</v>
      </c>
      <c r="F472">
        <v>71</v>
      </c>
      <c r="G472">
        <v>29694359.109999999</v>
      </c>
      <c r="H472" t="s">
        <v>1017</v>
      </c>
    </row>
    <row r="473" spans="1:8" x14ac:dyDescent="0.25">
      <c r="A473" t="s">
        <v>1229</v>
      </c>
      <c r="B473" t="s">
        <v>177</v>
      </c>
      <c r="C473" t="s">
        <v>178</v>
      </c>
      <c r="D473" t="s">
        <v>14</v>
      </c>
      <c r="E473">
        <v>443720.13</v>
      </c>
      <c r="F473">
        <v>16</v>
      </c>
      <c r="G473">
        <v>7099522.0800000001</v>
      </c>
      <c r="H473" t="s">
        <v>1017</v>
      </c>
    </row>
    <row r="474" spans="1:8" x14ac:dyDescent="0.25">
      <c r="A474" t="s">
        <v>1230</v>
      </c>
      <c r="B474" t="s">
        <v>225</v>
      </c>
      <c r="C474" t="s">
        <v>226</v>
      </c>
      <c r="D474" t="s">
        <v>26</v>
      </c>
      <c r="E474">
        <v>1619961.91</v>
      </c>
      <c r="F474">
        <v>31</v>
      </c>
      <c r="G474">
        <v>50218819.210000001</v>
      </c>
      <c r="H474" t="s">
        <v>1017</v>
      </c>
    </row>
    <row r="475" spans="1:8" x14ac:dyDescent="0.25">
      <c r="A475" t="s">
        <v>1230</v>
      </c>
      <c r="B475" t="s">
        <v>597</v>
      </c>
      <c r="C475" t="s">
        <v>598</v>
      </c>
      <c r="D475" t="s">
        <v>19</v>
      </c>
      <c r="E475">
        <v>441640.81</v>
      </c>
      <c r="F475">
        <v>56</v>
      </c>
      <c r="G475">
        <v>24731885.359999999</v>
      </c>
      <c r="H475" t="s">
        <v>1017</v>
      </c>
    </row>
    <row r="476" spans="1:8" x14ac:dyDescent="0.25">
      <c r="A476" t="s">
        <v>1230</v>
      </c>
      <c r="B476" t="s">
        <v>379</v>
      </c>
      <c r="C476" t="s">
        <v>380</v>
      </c>
      <c r="D476" t="s">
        <v>10</v>
      </c>
      <c r="E476">
        <v>320507.19</v>
      </c>
      <c r="F476">
        <v>4</v>
      </c>
      <c r="G476">
        <v>1282028.76</v>
      </c>
      <c r="H476" t="s">
        <v>1017</v>
      </c>
    </row>
    <row r="477" spans="1:8" x14ac:dyDescent="0.25">
      <c r="A477" t="s">
        <v>1231</v>
      </c>
      <c r="B477" t="s">
        <v>465</v>
      </c>
      <c r="C477" t="s">
        <v>466</v>
      </c>
      <c r="D477" t="s">
        <v>26</v>
      </c>
      <c r="E477">
        <v>1917135.49</v>
      </c>
      <c r="F477">
        <v>19</v>
      </c>
      <c r="G477">
        <v>36425574.310000002</v>
      </c>
      <c r="H477" t="s">
        <v>1017</v>
      </c>
    </row>
    <row r="478" spans="1:8" x14ac:dyDescent="0.25">
      <c r="A478" t="s">
        <v>1231</v>
      </c>
      <c r="B478" t="s">
        <v>487</v>
      </c>
      <c r="C478" t="s">
        <v>488</v>
      </c>
      <c r="D478" t="s">
        <v>14</v>
      </c>
      <c r="E478">
        <v>372937.25</v>
      </c>
      <c r="F478">
        <v>108</v>
      </c>
      <c r="G478">
        <v>40277223</v>
      </c>
      <c r="H478" t="s">
        <v>1017</v>
      </c>
    </row>
    <row r="479" spans="1:8" x14ac:dyDescent="0.25">
      <c r="A479" t="s">
        <v>1232</v>
      </c>
      <c r="B479" t="s">
        <v>989</v>
      </c>
      <c r="C479" t="s">
        <v>990</v>
      </c>
      <c r="D479" t="s">
        <v>14</v>
      </c>
      <c r="E479">
        <v>1079999.8400000001</v>
      </c>
      <c r="F479">
        <v>18</v>
      </c>
      <c r="G479">
        <v>19439997.120000001</v>
      </c>
      <c r="H479" t="s">
        <v>1017</v>
      </c>
    </row>
    <row r="480" spans="1:8" x14ac:dyDescent="0.25">
      <c r="A480" t="s">
        <v>1233</v>
      </c>
      <c r="B480" t="s">
        <v>843</v>
      </c>
      <c r="C480" t="s">
        <v>844</v>
      </c>
      <c r="D480" t="s">
        <v>26</v>
      </c>
      <c r="E480">
        <v>2004051.96</v>
      </c>
      <c r="F480">
        <v>82</v>
      </c>
      <c r="G480">
        <v>164332260.72</v>
      </c>
      <c r="H480" t="s">
        <v>1017</v>
      </c>
    </row>
    <row r="481" spans="1:8" x14ac:dyDescent="0.25">
      <c r="A481" t="s">
        <v>1233</v>
      </c>
      <c r="B481" t="s">
        <v>361</v>
      </c>
      <c r="C481" t="s">
        <v>362</v>
      </c>
      <c r="D481" t="s">
        <v>14</v>
      </c>
      <c r="E481">
        <v>1033907.35</v>
      </c>
      <c r="F481">
        <v>49</v>
      </c>
      <c r="G481">
        <v>50661460.149999999</v>
      </c>
      <c r="H481" t="s">
        <v>1017</v>
      </c>
    </row>
    <row r="482" spans="1:8" x14ac:dyDescent="0.25">
      <c r="A482" t="s">
        <v>1234</v>
      </c>
      <c r="B482" t="s">
        <v>935</v>
      </c>
      <c r="C482" t="s">
        <v>936</v>
      </c>
      <c r="D482" t="s">
        <v>14</v>
      </c>
      <c r="E482">
        <v>69972.929999999993</v>
      </c>
      <c r="F482">
        <v>48</v>
      </c>
      <c r="G482">
        <v>3358700.64</v>
      </c>
      <c r="H482" t="s">
        <v>1017</v>
      </c>
    </row>
    <row r="483" spans="1:8" x14ac:dyDescent="0.25">
      <c r="A483" t="s">
        <v>1235</v>
      </c>
      <c r="B483" t="s">
        <v>265</v>
      </c>
      <c r="C483" t="s">
        <v>266</v>
      </c>
      <c r="D483" t="s">
        <v>14</v>
      </c>
      <c r="E483">
        <v>690863.37</v>
      </c>
      <c r="F483">
        <v>12</v>
      </c>
      <c r="G483">
        <v>8290360.4400000004</v>
      </c>
      <c r="H483" t="s">
        <v>1017</v>
      </c>
    </row>
    <row r="484" spans="1:8" x14ac:dyDescent="0.25">
      <c r="A484" t="s">
        <v>1236</v>
      </c>
      <c r="B484" t="s">
        <v>985</v>
      </c>
      <c r="C484" t="s">
        <v>986</v>
      </c>
      <c r="D484" t="s">
        <v>26</v>
      </c>
      <c r="E484">
        <v>839438.4</v>
      </c>
      <c r="F484">
        <v>113</v>
      </c>
      <c r="G484">
        <v>94856539.200000003</v>
      </c>
      <c r="H484" t="s">
        <v>1017</v>
      </c>
    </row>
    <row r="485" spans="1:8" x14ac:dyDescent="0.25">
      <c r="A485" t="s">
        <v>1237</v>
      </c>
      <c r="B485" t="s">
        <v>849</v>
      </c>
      <c r="C485" t="s">
        <v>850</v>
      </c>
      <c r="D485" t="s">
        <v>19</v>
      </c>
      <c r="E485">
        <v>157018.57</v>
      </c>
      <c r="F485">
        <v>19</v>
      </c>
      <c r="G485">
        <v>2983352.83</v>
      </c>
      <c r="H485" t="s">
        <v>1017</v>
      </c>
    </row>
    <row r="486" spans="1:8" x14ac:dyDescent="0.25">
      <c r="A486" t="s">
        <v>1237</v>
      </c>
      <c r="B486" t="s">
        <v>227</v>
      </c>
      <c r="C486" t="s">
        <v>228</v>
      </c>
      <c r="D486" t="s">
        <v>14</v>
      </c>
      <c r="E486">
        <v>688688.41</v>
      </c>
      <c r="F486">
        <v>113</v>
      </c>
      <c r="G486">
        <v>77821790.329999998</v>
      </c>
      <c r="H486" t="s">
        <v>1017</v>
      </c>
    </row>
    <row r="487" spans="1:8" x14ac:dyDescent="0.25">
      <c r="A487" t="s">
        <v>1238</v>
      </c>
      <c r="B487" t="s">
        <v>267</v>
      </c>
      <c r="C487" t="s">
        <v>268</v>
      </c>
      <c r="D487" t="s">
        <v>14</v>
      </c>
      <c r="E487">
        <v>610083.65</v>
      </c>
      <c r="F487">
        <v>2</v>
      </c>
      <c r="G487">
        <v>1220167.3</v>
      </c>
      <c r="H487" t="s">
        <v>1017</v>
      </c>
    </row>
    <row r="488" spans="1:8" x14ac:dyDescent="0.25">
      <c r="A488" t="s">
        <v>1239</v>
      </c>
      <c r="B488" t="s">
        <v>951</v>
      </c>
      <c r="C488" t="s">
        <v>952</v>
      </c>
      <c r="D488" t="s">
        <v>26</v>
      </c>
      <c r="E488">
        <v>1974028.56</v>
      </c>
      <c r="F488">
        <v>16</v>
      </c>
      <c r="G488">
        <v>31584456.960000001</v>
      </c>
      <c r="H488" t="s">
        <v>1017</v>
      </c>
    </row>
    <row r="489" spans="1:8" x14ac:dyDescent="0.25">
      <c r="A489" t="s">
        <v>1240</v>
      </c>
      <c r="B489" t="s">
        <v>849</v>
      </c>
      <c r="C489" t="s">
        <v>850</v>
      </c>
      <c r="D489" t="s">
        <v>19</v>
      </c>
      <c r="E489">
        <v>144406.88</v>
      </c>
      <c r="F489">
        <v>44</v>
      </c>
      <c r="G489">
        <v>6353902.7199999997</v>
      </c>
      <c r="H489" t="s">
        <v>1017</v>
      </c>
    </row>
    <row r="490" spans="1:8" x14ac:dyDescent="0.25">
      <c r="A490" t="s">
        <v>1240</v>
      </c>
      <c r="B490" t="s">
        <v>735</v>
      </c>
      <c r="C490" t="s">
        <v>736</v>
      </c>
      <c r="D490" t="s">
        <v>19</v>
      </c>
      <c r="E490">
        <v>1378242.32</v>
      </c>
      <c r="F490">
        <v>56</v>
      </c>
      <c r="G490">
        <v>77181569.920000002</v>
      </c>
      <c r="H490" t="s">
        <v>1017</v>
      </c>
    </row>
    <row r="491" spans="1:8" x14ac:dyDescent="0.25">
      <c r="A491" t="s">
        <v>1240</v>
      </c>
      <c r="B491" t="s">
        <v>391</v>
      </c>
      <c r="C491" t="s">
        <v>392</v>
      </c>
      <c r="D491" t="s">
        <v>10</v>
      </c>
      <c r="E491">
        <v>792590.67</v>
      </c>
      <c r="F491">
        <v>52</v>
      </c>
      <c r="G491">
        <v>41214714.840000004</v>
      </c>
      <c r="H491" t="s">
        <v>1017</v>
      </c>
    </row>
    <row r="492" spans="1:8" x14ac:dyDescent="0.25">
      <c r="A492" t="s">
        <v>1240</v>
      </c>
      <c r="B492" t="s">
        <v>519</v>
      </c>
      <c r="C492" t="s">
        <v>520</v>
      </c>
      <c r="D492" t="s">
        <v>10</v>
      </c>
      <c r="E492">
        <v>274286.89</v>
      </c>
      <c r="F492">
        <v>12</v>
      </c>
      <c r="G492">
        <v>3291442.68</v>
      </c>
      <c r="H492" t="s">
        <v>1017</v>
      </c>
    </row>
    <row r="493" spans="1:8" x14ac:dyDescent="0.25">
      <c r="A493" t="s">
        <v>1241</v>
      </c>
      <c r="B493" t="s">
        <v>485</v>
      </c>
      <c r="C493" t="s">
        <v>486</v>
      </c>
      <c r="D493" t="s">
        <v>19</v>
      </c>
      <c r="E493">
        <v>1363914.76</v>
      </c>
      <c r="F493">
        <v>8</v>
      </c>
      <c r="G493">
        <v>10911318.08</v>
      </c>
      <c r="H493" t="s">
        <v>1017</v>
      </c>
    </row>
    <row r="494" spans="1:8" x14ac:dyDescent="0.25">
      <c r="A494" t="s">
        <v>1242</v>
      </c>
      <c r="B494" t="s">
        <v>1007</v>
      </c>
      <c r="C494" t="s">
        <v>1008</v>
      </c>
      <c r="D494" t="s">
        <v>14</v>
      </c>
      <c r="E494">
        <v>199556.31</v>
      </c>
      <c r="F494">
        <v>111</v>
      </c>
      <c r="G494">
        <v>22150750.41</v>
      </c>
      <c r="H494" t="s">
        <v>1017</v>
      </c>
    </row>
    <row r="495" spans="1:8" x14ac:dyDescent="0.25">
      <c r="A495" t="s">
        <v>1242</v>
      </c>
      <c r="B495" t="s">
        <v>119</v>
      </c>
      <c r="C495" t="s">
        <v>120</v>
      </c>
      <c r="D495" t="s">
        <v>10</v>
      </c>
      <c r="E495">
        <v>346230.52</v>
      </c>
      <c r="F495">
        <v>65</v>
      </c>
      <c r="G495">
        <v>22504983.800000001</v>
      </c>
      <c r="H495" t="s">
        <v>1017</v>
      </c>
    </row>
    <row r="496" spans="1:8" x14ac:dyDescent="0.25">
      <c r="A496" t="s">
        <v>1243</v>
      </c>
      <c r="B496" t="s">
        <v>8</v>
      </c>
      <c r="C496" t="s">
        <v>9</v>
      </c>
      <c r="D496" t="s">
        <v>10</v>
      </c>
      <c r="E496">
        <v>919722.74</v>
      </c>
      <c r="F496">
        <v>62</v>
      </c>
      <c r="G496">
        <v>57022809.880000003</v>
      </c>
      <c r="H496" t="s">
        <v>1017</v>
      </c>
    </row>
    <row r="497" spans="1:8" x14ac:dyDescent="0.25">
      <c r="A497" t="s">
        <v>1243</v>
      </c>
      <c r="B497" t="s">
        <v>639</v>
      </c>
      <c r="C497" t="s">
        <v>640</v>
      </c>
      <c r="D497" t="s">
        <v>14</v>
      </c>
      <c r="E497">
        <v>257615.61</v>
      </c>
      <c r="F497">
        <v>74</v>
      </c>
      <c r="G497">
        <v>19063555.140000001</v>
      </c>
      <c r="H497" t="s">
        <v>1017</v>
      </c>
    </row>
    <row r="498" spans="1:8" x14ac:dyDescent="0.25">
      <c r="A498" t="s">
        <v>1243</v>
      </c>
      <c r="B498" t="s">
        <v>233</v>
      </c>
      <c r="C498" t="s">
        <v>234</v>
      </c>
      <c r="D498" t="s">
        <v>26</v>
      </c>
      <c r="E498">
        <v>3201456.04</v>
      </c>
      <c r="F498">
        <v>61</v>
      </c>
      <c r="G498">
        <v>195288818.44</v>
      </c>
      <c r="H498" t="s">
        <v>1017</v>
      </c>
    </row>
    <row r="499" spans="1:8" x14ac:dyDescent="0.25">
      <c r="A499" t="s">
        <v>1244</v>
      </c>
      <c r="B499" t="s">
        <v>283</v>
      </c>
      <c r="C499" t="s">
        <v>284</v>
      </c>
      <c r="D499" t="s">
        <v>10</v>
      </c>
      <c r="E499">
        <v>354732.08</v>
      </c>
      <c r="F499">
        <v>23</v>
      </c>
      <c r="G499">
        <v>8158837.8399999999</v>
      </c>
      <c r="H499" t="s">
        <v>1017</v>
      </c>
    </row>
    <row r="500" spans="1:8" x14ac:dyDescent="0.25">
      <c r="A500" t="s">
        <v>1244</v>
      </c>
      <c r="B500" t="s">
        <v>29</v>
      </c>
      <c r="C500" t="s">
        <v>30</v>
      </c>
      <c r="D500" t="s">
        <v>26</v>
      </c>
      <c r="E500">
        <v>517039.93</v>
      </c>
      <c r="F500">
        <v>30</v>
      </c>
      <c r="G500">
        <v>15511197.9</v>
      </c>
      <c r="H500" t="s">
        <v>1017</v>
      </c>
    </row>
    <row r="501" spans="1:8" x14ac:dyDescent="0.25">
      <c r="A501" t="s">
        <v>1245</v>
      </c>
      <c r="B501" t="s">
        <v>521</v>
      </c>
      <c r="C501" t="s">
        <v>522</v>
      </c>
      <c r="D501" t="s">
        <v>10</v>
      </c>
      <c r="E501">
        <v>437251.59</v>
      </c>
      <c r="F501">
        <v>77</v>
      </c>
      <c r="G501">
        <v>33668372.43</v>
      </c>
      <c r="H501" t="s">
        <v>1017</v>
      </c>
    </row>
    <row r="502" spans="1:8" x14ac:dyDescent="0.25">
      <c r="A502" t="s">
        <v>1245</v>
      </c>
      <c r="B502" t="s">
        <v>353</v>
      </c>
      <c r="C502" t="s">
        <v>354</v>
      </c>
      <c r="D502" t="s">
        <v>14</v>
      </c>
      <c r="E502">
        <v>737502.15</v>
      </c>
      <c r="F502">
        <v>31</v>
      </c>
      <c r="G502">
        <v>22862566.649999999</v>
      </c>
      <c r="H502" t="s">
        <v>1017</v>
      </c>
    </row>
    <row r="503" spans="1:8" x14ac:dyDescent="0.25">
      <c r="A503" t="s">
        <v>1246</v>
      </c>
      <c r="B503" t="s">
        <v>205</v>
      </c>
      <c r="C503" t="s">
        <v>206</v>
      </c>
      <c r="D503" t="s">
        <v>26</v>
      </c>
      <c r="E503">
        <v>885493.73</v>
      </c>
      <c r="F503">
        <v>36</v>
      </c>
      <c r="G503">
        <v>31877774.280000001</v>
      </c>
      <c r="H503" t="s">
        <v>1017</v>
      </c>
    </row>
    <row r="504" spans="1:8" x14ac:dyDescent="0.25">
      <c r="A504" t="s">
        <v>1246</v>
      </c>
      <c r="B504" t="s">
        <v>27</v>
      </c>
      <c r="C504" t="s">
        <v>28</v>
      </c>
      <c r="D504" t="s">
        <v>14</v>
      </c>
      <c r="E504">
        <v>714920.86</v>
      </c>
      <c r="F504">
        <v>2</v>
      </c>
      <c r="G504">
        <v>1429841.72</v>
      </c>
      <c r="H504" t="s">
        <v>1017</v>
      </c>
    </row>
    <row r="505" spans="1:8" x14ac:dyDescent="0.25">
      <c r="A505" t="s">
        <v>1246</v>
      </c>
      <c r="B505" t="s">
        <v>509</v>
      </c>
      <c r="C505" t="s">
        <v>510</v>
      </c>
      <c r="D505" t="s">
        <v>26</v>
      </c>
      <c r="E505">
        <v>3490632.42</v>
      </c>
      <c r="F505">
        <v>53</v>
      </c>
      <c r="G505">
        <v>185003518.25999999</v>
      </c>
      <c r="H505" t="s">
        <v>1017</v>
      </c>
    </row>
    <row r="506" spans="1:8" x14ac:dyDescent="0.25">
      <c r="A506" t="s">
        <v>1247</v>
      </c>
      <c r="B506" t="s">
        <v>699</v>
      </c>
      <c r="C506" t="s">
        <v>700</v>
      </c>
      <c r="D506" t="s">
        <v>19</v>
      </c>
      <c r="E506">
        <v>62396.29</v>
      </c>
      <c r="F506">
        <v>109</v>
      </c>
      <c r="G506">
        <v>6801195.6100000003</v>
      </c>
      <c r="H506" t="s">
        <v>1017</v>
      </c>
    </row>
    <row r="507" spans="1:8" x14ac:dyDescent="0.25">
      <c r="A507" t="s">
        <v>1248</v>
      </c>
      <c r="B507" t="s">
        <v>57</v>
      </c>
      <c r="C507" t="s">
        <v>58</v>
      </c>
      <c r="D507" t="s">
        <v>19</v>
      </c>
      <c r="E507">
        <v>960636.55</v>
      </c>
      <c r="F507">
        <v>2</v>
      </c>
      <c r="G507">
        <v>1921273.1</v>
      </c>
      <c r="H507" t="s">
        <v>1017</v>
      </c>
    </row>
    <row r="508" spans="1:8" x14ac:dyDescent="0.25">
      <c r="A508" t="s">
        <v>1249</v>
      </c>
      <c r="B508" t="s">
        <v>891</v>
      </c>
      <c r="C508" t="s">
        <v>892</v>
      </c>
      <c r="D508" t="s">
        <v>26</v>
      </c>
      <c r="E508">
        <v>2146431.88</v>
      </c>
      <c r="F508">
        <v>96</v>
      </c>
      <c r="G508">
        <v>206057460.47999999</v>
      </c>
      <c r="H508" t="s">
        <v>1017</v>
      </c>
    </row>
    <row r="509" spans="1:8" x14ac:dyDescent="0.25">
      <c r="A509" t="s">
        <v>1249</v>
      </c>
      <c r="B509" t="s">
        <v>867</v>
      </c>
      <c r="C509" t="s">
        <v>868</v>
      </c>
      <c r="D509" t="s">
        <v>10</v>
      </c>
      <c r="E509">
        <v>1331929.3500000001</v>
      </c>
      <c r="F509">
        <v>116</v>
      </c>
      <c r="G509">
        <v>154503804.59999999</v>
      </c>
      <c r="H509" t="s">
        <v>1017</v>
      </c>
    </row>
    <row r="510" spans="1:8" x14ac:dyDescent="0.25">
      <c r="A510" t="s">
        <v>1250</v>
      </c>
      <c r="B510" t="s">
        <v>231</v>
      </c>
      <c r="C510" t="s">
        <v>232</v>
      </c>
      <c r="D510" t="s">
        <v>10</v>
      </c>
      <c r="E510">
        <v>275928.34000000003</v>
      </c>
      <c r="F510">
        <v>56</v>
      </c>
      <c r="G510">
        <v>15451987.039999999</v>
      </c>
      <c r="H510" t="s">
        <v>1017</v>
      </c>
    </row>
    <row r="511" spans="1:8" x14ac:dyDescent="0.25">
      <c r="A511" t="s">
        <v>1251</v>
      </c>
      <c r="B511" t="s">
        <v>245</v>
      </c>
      <c r="C511" t="s">
        <v>246</v>
      </c>
      <c r="D511" t="s">
        <v>10</v>
      </c>
      <c r="E511">
        <v>935405.69</v>
      </c>
      <c r="F511">
        <v>23</v>
      </c>
      <c r="G511">
        <v>21514330.870000001</v>
      </c>
      <c r="H511" t="s">
        <v>1017</v>
      </c>
    </row>
    <row r="512" spans="1:8" x14ac:dyDescent="0.25">
      <c r="A512" t="s">
        <v>1251</v>
      </c>
      <c r="B512" t="s">
        <v>319</v>
      </c>
      <c r="C512" t="s">
        <v>320</v>
      </c>
      <c r="D512" t="s">
        <v>14</v>
      </c>
      <c r="E512">
        <v>1058326.5900000001</v>
      </c>
      <c r="F512">
        <v>101</v>
      </c>
      <c r="G512">
        <v>106890985.59</v>
      </c>
      <c r="H512" t="s">
        <v>1017</v>
      </c>
    </row>
    <row r="513" spans="1:8" x14ac:dyDescent="0.25">
      <c r="A513" t="s">
        <v>1252</v>
      </c>
      <c r="B513" t="s">
        <v>185</v>
      </c>
      <c r="C513" t="s">
        <v>186</v>
      </c>
      <c r="D513" t="s">
        <v>26</v>
      </c>
      <c r="E513">
        <v>1640564.76</v>
      </c>
      <c r="F513">
        <v>53</v>
      </c>
      <c r="G513">
        <v>86949932.280000001</v>
      </c>
      <c r="H513" t="s">
        <v>1017</v>
      </c>
    </row>
    <row r="514" spans="1:8" x14ac:dyDescent="0.25">
      <c r="A514" t="s">
        <v>1253</v>
      </c>
      <c r="B514" t="s">
        <v>109</v>
      </c>
      <c r="C514" t="s">
        <v>110</v>
      </c>
      <c r="D514" t="s">
        <v>10</v>
      </c>
      <c r="E514">
        <v>1251899.9099999999</v>
      </c>
      <c r="F514">
        <v>99</v>
      </c>
      <c r="G514">
        <v>123938091.09</v>
      </c>
      <c r="H514" t="s">
        <v>1017</v>
      </c>
    </row>
    <row r="515" spans="1:8" x14ac:dyDescent="0.25">
      <c r="A515" t="s">
        <v>1253</v>
      </c>
      <c r="B515" t="s">
        <v>827</v>
      </c>
      <c r="C515" t="s">
        <v>828</v>
      </c>
      <c r="D515" t="s">
        <v>26</v>
      </c>
      <c r="E515">
        <v>2179426.56</v>
      </c>
      <c r="F515">
        <v>91</v>
      </c>
      <c r="G515">
        <v>198327816.96000001</v>
      </c>
      <c r="H515" t="s">
        <v>1017</v>
      </c>
    </row>
    <row r="516" spans="1:8" x14ac:dyDescent="0.25">
      <c r="A516" t="s">
        <v>1253</v>
      </c>
      <c r="B516" t="s">
        <v>923</v>
      </c>
      <c r="C516" t="s">
        <v>924</v>
      </c>
      <c r="D516" t="s">
        <v>19</v>
      </c>
      <c r="E516">
        <v>1942368.59</v>
      </c>
      <c r="F516">
        <v>114</v>
      </c>
      <c r="G516">
        <v>221430019.25999999</v>
      </c>
      <c r="H516" t="s">
        <v>1017</v>
      </c>
    </row>
    <row r="517" spans="1:8" x14ac:dyDescent="0.25">
      <c r="A517" t="s">
        <v>1253</v>
      </c>
      <c r="B517" t="s">
        <v>395</v>
      </c>
      <c r="C517" t="s">
        <v>396</v>
      </c>
      <c r="D517" t="s">
        <v>14</v>
      </c>
      <c r="E517">
        <v>188870.09</v>
      </c>
      <c r="F517">
        <v>62</v>
      </c>
      <c r="G517">
        <v>11709945.58</v>
      </c>
      <c r="H517" t="s">
        <v>1017</v>
      </c>
    </row>
    <row r="518" spans="1:8" x14ac:dyDescent="0.25">
      <c r="A518" t="s">
        <v>1254</v>
      </c>
      <c r="B518" t="s">
        <v>847</v>
      </c>
      <c r="C518" t="s">
        <v>848</v>
      </c>
      <c r="D518" t="s">
        <v>26</v>
      </c>
      <c r="E518">
        <v>1078925.29</v>
      </c>
      <c r="F518">
        <v>58</v>
      </c>
      <c r="G518">
        <v>62577666.82</v>
      </c>
      <c r="H518" t="s">
        <v>1017</v>
      </c>
    </row>
    <row r="519" spans="1:8" x14ac:dyDescent="0.25">
      <c r="A519" t="s">
        <v>1254</v>
      </c>
      <c r="B519" t="s">
        <v>487</v>
      </c>
      <c r="C519" t="s">
        <v>488</v>
      </c>
      <c r="D519" t="s">
        <v>14</v>
      </c>
      <c r="E519">
        <v>343817.46</v>
      </c>
      <c r="F519">
        <v>30</v>
      </c>
      <c r="G519">
        <v>10314523.800000001</v>
      </c>
      <c r="H519" t="s">
        <v>1017</v>
      </c>
    </row>
    <row r="520" spans="1:8" x14ac:dyDescent="0.25">
      <c r="A520" t="s">
        <v>1255</v>
      </c>
      <c r="B520" t="s">
        <v>431</v>
      </c>
      <c r="C520" t="s">
        <v>432</v>
      </c>
      <c r="D520" t="s">
        <v>26</v>
      </c>
      <c r="E520">
        <v>1057544.54</v>
      </c>
      <c r="F520">
        <v>120</v>
      </c>
      <c r="G520">
        <v>126905344.8</v>
      </c>
      <c r="H520" t="s">
        <v>1017</v>
      </c>
    </row>
    <row r="521" spans="1:8" x14ac:dyDescent="0.25">
      <c r="A521" t="s">
        <v>1255</v>
      </c>
      <c r="B521" t="s">
        <v>399</v>
      </c>
      <c r="C521" t="s">
        <v>400</v>
      </c>
      <c r="D521" t="s">
        <v>19</v>
      </c>
      <c r="E521">
        <v>805949.39</v>
      </c>
      <c r="F521">
        <v>47</v>
      </c>
      <c r="G521">
        <v>37879621.329999998</v>
      </c>
      <c r="H521" t="s">
        <v>1017</v>
      </c>
    </row>
    <row r="522" spans="1:8" x14ac:dyDescent="0.25">
      <c r="A522" t="s">
        <v>1256</v>
      </c>
      <c r="B522" t="s">
        <v>999</v>
      </c>
      <c r="C522" t="s">
        <v>1000</v>
      </c>
      <c r="D522" t="s">
        <v>26</v>
      </c>
      <c r="E522">
        <v>485490.8</v>
      </c>
      <c r="F522">
        <v>81</v>
      </c>
      <c r="G522">
        <v>39324754.799999997</v>
      </c>
      <c r="H522" t="s">
        <v>1017</v>
      </c>
    </row>
    <row r="523" spans="1:8" x14ac:dyDescent="0.25">
      <c r="A523" t="s">
        <v>1256</v>
      </c>
      <c r="B523" t="s">
        <v>795</v>
      </c>
      <c r="C523" t="s">
        <v>796</v>
      </c>
      <c r="D523" t="s">
        <v>10</v>
      </c>
      <c r="E523">
        <v>758995.28</v>
      </c>
      <c r="F523">
        <v>98</v>
      </c>
      <c r="G523">
        <v>74381537.439999998</v>
      </c>
      <c r="H523" t="s">
        <v>1017</v>
      </c>
    </row>
    <row r="524" spans="1:8" x14ac:dyDescent="0.25">
      <c r="A524" t="s">
        <v>1257</v>
      </c>
      <c r="B524" t="s">
        <v>741</v>
      </c>
      <c r="C524" t="s">
        <v>742</v>
      </c>
      <c r="D524" t="s">
        <v>19</v>
      </c>
      <c r="E524">
        <v>820613.96</v>
      </c>
      <c r="F524">
        <v>27</v>
      </c>
      <c r="G524">
        <v>22156576.920000002</v>
      </c>
      <c r="H524" t="s">
        <v>1017</v>
      </c>
    </row>
    <row r="525" spans="1:8" x14ac:dyDescent="0.25">
      <c r="A525" t="s">
        <v>1258</v>
      </c>
      <c r="B525" t="s">
        <v>201</v>
      </c>
      <c r="C525" t="s">
        <v>202</v>
      </c>
      <c r="D525" t="s">
        <v>14</v>
      </c>
      <c r="E525">
        <v>675988.15</v>
      </c>
      <c r="F525">
        <v>90</v>
      </c>
      <c r="G525">
        <v>60838933.5</v>
      </c>
      <c r="H525" t="s">
        <v>1017</v>
      </c>
    </row>
    <row r="526" spans="1:8" x14ac:dyDescent="0.25">
      <c r="A526" t="s">
        <v>1258</v>
      </c>
      <c r="B526" t="s">
        <v>159</v>
      </c>
      <c r="C526" t="s">
        <v>160</v>
      </c>
      <c r="D526" t="s">
        <v>19</v>
      </c>
      <c r="E526">
        <v>1574504.05</v>
      </c>
      <c r="F526">
        <v>111</v>
      </c>
      <c r="G526">
        <v>174769949.55000001</v>
      </c>
      <c r="H526" t="s">
        <v>1017</v>
      </c>
    </row>
    <row r="527" spans="1:8" x14ac:dyDescent="0.25">
      <c r="A527" t="s">
        <v>1259</v>
      </c>
      <c r="B527" t="s">
        <v>441</v>
      </c>
      <c r="C527" t="s">
        <v>442</v>
      </c>
      <c r="D527" t="s">
        <v>26</v>
      </c>
      <c r="E527">
        <v>4010314.71</v>
      </c>
      <c r="F527">
        <v>82</v>
      </c>
      <c r="G527">
        <v>328845806.22000003</v>
      </c>
      <c r="H527" t="s">
        <v>1017</v>
      </c>
    </row>
    <row r="528" spans="1:8" x14ac:dyDescent="0.25">
      <c r="A528" t="s">
        <v>1260</v>
      </c>
      <c r="B528" t="s">
        <v>777</v>
      </c>
      <c r="C528" t="s">
        <v>778</v>
      </c>
      <c r="D528" t="s">
        <v>26</v>
      </c>
      <c r="E528">
        <v>2683914.5099999998</v>
      </c>
      <c r="F528">
        <v>45</v>
      </c>
      <c r="G528">
        <v>120776152.95</v>
      </c>
      <c r="H528" t="s">
        <v>1017</v>
      </c>
    </row>
    <row r="529" spans="1:8" x14ac:dyDescent="0.25">
      <c r="A529" t="s">
        <v>1261</v>
      </c>
      <c r="B529" t="s">
        <v>517</v>
      </c>
      <c r="C529" t="s">
        <v>518</v>
      </c>
      <c r="D529" t="s">
        <v>26</v>
      </c>
      <c r="E529">
        <v>2493066.02</v>
      </c>
      <c r="F529">
        <v>1</v>
      </c>
      <c r="G529">
        <v>2493066.02</v>
      </c>
      <c r="H529" t="s">
        <v>1017</v>
      </c>
    </row>
    <row r="530" spans="1:8" x14ac:dyDescent="0.25">
      <c r="A530" t="s">
        <v>1261</v>
      </c>
      <c r="B530" t="s">
        <v>585</v>
      </c>
      <c r="C530" t="s">
        <v>586</v>
      </c>
      <c r="D530" t="s">
        <v>10</v>
      </c>
      <c r="E530">
        <v>1488966.76</v>
      </c>
      <c r="F530">
        <v>120</v>
      </c>
      <c r="G530">
        <v>178676011.19999999</v>
      </c>
      <c r="H530" t="s">
        <v>1017</v>
      </c>
    </row>
    <row r="531" spans="1:8" x14ac:dyDescent="0.25">
      <c r="A531" t="s">
        <v>1262</v>
      </c>
      <c r="B531" t="s">
        <v>17</v>
      </c>
      <c r="C531" t="s">
        <v>18</v>
      </c>
      <c r="D531" t="s">
        <v>19</v>
      </c>
      <c r="E531">
        <v>1318742.49</v>
      </c>
      <c r="F531">
        <v>98</v>
      </c>
      <c r="G531">
        <v>129236764.02</v>
      </c>
      <c r="H531" t="s">
        <v>1017</v>
      </c>
    </row>
    <row r="532" spans="1:8" x14ac:dyDescent="0.25">
      <c r="A532" t="s">
        <v>1262</v>
      </c>
      <c r="B532" t="s">
        <v>837</v>
      </c>
      <c r="C532" t="s">
        <v>838</v>
      </c>
      <c r="D532" t="s">
        <v>26</v>
      </c>
      <c r="E532">
        <v>3245190.28</v>
      </c>
      <c r="F532">
        <v>33</v>
      </c>
      <c r="G532">
        <v>107091279.23999999</v>
      </c>
      <c r="H532" t="s">
        <v>1017</v>
      </c>
    </row>
    <row r="533" spans="1:8" x14ac:dyDescent="0.25">
      <c r="A533" t="s">
        <v>1263</v>
      </c>
      <c r="B533" t="s">
        <v>87</v>
      </c>
      <c r="C533" t="s">
        <v>88</v>
      </c>
      <c r="D533" t="s">
        <v>26</v>
      </c>
      <c r="E533">
        <v>4070016.24</v>
      </c>
      <c r="F533">
        <v>112</v>
      </c>
      <c r="G533">
        <v>455841818.88</v>
      </c>
      <c r="H533" t="s">
        <v>1017</v>
      </c>
    </row>
    <row r="534" spans="1:8" x14ac:dyDescent="0.25">
      <c r="A534" t="s">
        <v>1263</v>
      </c>
      <c r="B534" t="s">
        <v>459</v>
      </c>
      <c r="C534" t="s">
        <v>460</v>
      </c>
      <c r="D534" t="s">
        <v>26</v>
      </c>
      <c r="E534">
        <v>2371647.2400000002</v>
      </c>
      <c r="F534">
        <v>109</v>
      </c>
      <c r="G534">
        <v>258509549.16</v>
      </c>
      <c r="H534" t="s">
        <v>1017</v>
      </c>
    </row>
    <row r="535" spans="1:8" x14ac:dyDescent="0.25">
      <c r="A535" t="s">
        <v>1264</v>
      </c>
      <c r="B535" t="s">
        <v>265</v>
      </c>
      <c r="C535" t="s">
        <v>266</v>
      </c>
      <c r="D535" t="s">
        <v>14</v>
      </c>
      <c r="E535">
        <v>657659.4</v>
      </c>
      <c r="F535">
        <v>73</v>
      </c>
      <c r="G535">
        <v>48009136.200000003</v>
      </c>
      <c r="H535" t="s">
        <v>1017</v>
      </c>
    </row>
    <row r="536" spans="1:8" x14ac:dyDescent="0.25">
      <c r="A536" t="s">
        <v>1264</v>
      </c>
      <c r="B536" t="s">
        <v>715</v>
      </c>
      <c r="C536" t="s">
        <v>716</v>
      </c>
      <c r="D536" t="s">
        <v>26</v>
      </c>
      <c r="E536">
        <v>2791187.59</v>
      </c>
      <c r="F536">
        <v>90</v>
      </c>
      <c r="G536">
        <v>251206883.09999999</v>
      </c>
      <c r="H536" t="s">
        <v>1017</v>
      </c>
    </row>
    <row r="537" spans="1:8" x14ac:dyDescent="0.25">
      <c r="A537" t="s">
        <v>1264</v>
      </c>
      <c r="B537" t="s">
        <v>509</v>
      </c>
      <c r="C537" t="s">
        <v>510</v>
      </c>
      <c r="D537" t="s">
        <v>26</v>
      </c>
      <c r="E537">
        <v>3601003.82</v>
      </c>
      <c r="F537">
        <v>62</v>
      </c>
      <c r="G537">
        <v>223262236.84</v>
      </c>
      <c r="H537" t="s">
        <v>1017</v>
      </c>
    </row>
    <row r="538" spans="1:8" x14ac:dyDescent="0.25">
      <c r="A538" t="s">
        <v>1264</v>
      </c>
      <c r="B538" t="s">
        <v>785</v>
      </c>
      <c r="C538" t="s">
        <v>786</v>
      </c>
      <c r="D538" t="s">
        <v>19</v>
      </c>
      <c r="E538">
        <v>1828981.8</v>
      </c>
      <c r="F538">
        <v>62</v>
      </c>
      <c r="G538">
        <v>113396871.59999999</v>
      </c>
      <c r="H538" t="s">
        <v>1017</v>
      </c>
    </row>
    <row r="539" spans="1:8" x14ac:dyDescent="0.25">
      <c r="A539" t="s">
        <v>1265</v>
      </c>
      <c r="B539" t="s">
        <v>1011</v>
      </c>
      <c r="C539" t="s">
        <v>1012</v>
      </c>
      <c r="D539" t="s">
        <v>26</v>
      </c>
      <c r="E539">
        <v>1843322.65</v>
      </c>
      <c r="F539">
        <v>44</v>
      </c>
      <c r="G539">
        <v>81106196.599999994</v>
      </c>
      <c r="H539" t="s">
        <v>1017</v>
      </c>
    </row>
    <row r="540" spans="1:8" x14ac:dyDescent="0.25">
      <c r="A540" t="s">
        <v>1265</v>
      </c>
      <c r="B540" t="s">
        <v>977</v>
      </c>
      <c r="C540" t="s">
        <v>978</v>
      </c>
      <c r="D540" t="s">
        <v>19</v>
      </c>
      <c r="E540">
        <v>218033.47</v>
      </c>
      <c r="F540">
        <v>46</v>
      </c>
      <c r="G540">
        <v>10029539.619999999</v>
      </c>
      <c r="H540" t="s">
        <v>1017</v>
      </c>
    </row>
    <row r="541" spans="1:8" x14ac:dyDescent="0.25">
      <c r="A541" t="s">
        <v>1266</v>
      </c>
      <c r="B541" t="s">
        <v>943</v>
      </c>
      <c r="C541" t="s">
        <v>944</v>
      </c>
      <c r="D541" t="s">
        <v>10</v>
      </c>
      <c r="E541">
        <v>1487743.9</v>
      </c>
      <c r="F541">
        <v>32</v>
      </c>
      <c r="G541">
        <v>47607804.799999997</v>
      </c>
      <c r="H541" t="s">
        <v>1017</v>
      </c>
    </row>
    <row r="542" spans="1:8" x14ac:dyDescent="0.25">
      <c r="A542" t="s">
        <v>1266</v>
      </c>
      <c r="B542" t="s">
        <v>241</v>
      </c>
      <c r="C542" t="s">
        <v>242</v>
      </c>
      <c r="D542" t="s">
        <v>14</v>
      </c>
      <c r="E542">
        <v>998778.83</v>
      </c>
      <c r="F542">
        <v>104</v>
      </c>
      <c r="G542">
        <v>103872998.31999999</v>
      </c>
      <c r="H542" t="s">
        <v>1017</v>
      </c>
    </row>
    <row r="543" spans="1:8" x14ac:dyDescent="0.25">
      <c r="A543" t="s">
        <v>1266</v>
      </c>
      <c r="B543" t="s">
        <v>527</v>
      </c>
      <c r="C543" t="s">
        <v>528</v>
      </c>
      <c r="D543" t="s">
        <v>14</v>
      </c>
      <c r="E543">
        <v>715756.04</v>
      </c>
      <c r="F543">
        <v>96</v>
      </c>
      <c r="G543">
        <v>68712579.840000004</v>
      </c>
      <c r="H543" t="s">
        <v>1017</v>
      </c>
    </row>
    <row r="544" spans="1:8" x14ac:dyDescent="0.25">
      <c r="A544" t="s">
        <v>1267</v>
      </c>
      <c r="B544" t="s">
        <v>389</v>
      </c>
      <c r="C544" t="s">
        <v>390</v>
      </c>
      <c r="D544" t="s">
        <v>10</v>
      </c>
      <c r="E544">
        <v>129058.25</v>
      </c>
      <c r="F544">
        <v>71</v>
      </c>
      <c r="G544">
        <v>9163135.75</v>
      </c>
      <c r="H544" t="s">
        <v>1017</v>
      </c>
    </row>
    <row r="545" spans="1:8" x14ac:dyDescent="0.25">
      <c r="A545" t="s">
        <v>1267</v>
      </c>
      <c r="B545" t="s">
        <v>625</v>
      </c>
      <c r="C545" t="s">
        <v>626</v>
      </c>
      <c r="D545" t="s">
        <v>19</v>
      </c>
      <c r="E545">
        <v>971484.81</v>
      </c>
      <c r="F545">
        <v>81</v>
      </c>
      <c r="G545">
        <v>78690269.609999999</v>
      </c>
      <c r="H545" t="s">
        <v>1017</v>
      </c>
    </row>
    <row r="546" spans="1:8" x14ac:dyDescent="0.25">
      <c r="A546" t="s">
        <v>1268</v>
      </c>
      <c r="B546" t="s">
        <v>589</v>
      </c>
      <c r="C546" t="s">
        <v>590</v>
      </c>
      <c r="D546" t="s">
        <v>26</v>
      </c>
      <c r="E546">
        <v>1370672.2</v>
      </c>
      <c r="F546">
        <v>110</v>
      </c>
      <c r="G546">
        <v>150773942</v>
      </c>
      <c r="H546" t="s">
        <v>1017</v>
      </c>
    </row>
    <row r="547" spans="1:8" x14ac:dyDescent="0.25">
      <c r="A547" t="s">
        <v>1269</v>
      </c>
      <c r="B547" t="s">
        <v>853</v>
      </c>
      <c r="C547" t="s">
        <v>854</v>
      </c>
      <c r="D547" t="s">
        <v>14</v>
      </c>
      <c r="E547">
        <v>339758.83</v>
      </c>
      <c r="F547">
        <v>119</v>
      </c>
      <c r="G547">
        <v>40431300.770000003</v>
      </c>
      <c r="H547" t="s">
        <v>1017</v>
      </c>
    </row>
    <row r="548" spans="1:8" x14ac:dyDescent="0.25">
      <c r="A548" t="s">
        <v>1270</v>
      </c>
      <c r="B548" t="s">
        <v>341</v>
      </c>
      <c r="C548" t="s">
        <v>342</v>
      </c>
      <c r="D548" t="s">
        <v>10</v>
      </c>
      <c r="E548">
        <v>621112.80000000005</v>
      </c>
      <c r="F548">
        <v>109</v>
      </c>
      <c r="G548">
        <v>67701295.200000003</v>
      </c>
      <c r="H548" t="s">
        <v>1017</v>
      </c>
    </row>
    <row r="549" spans="1:8" x14ac:dyDescent="0.25">
      <c r="A549" t="s">
        <v>1271</v>
      </c>
      <c r="B549" t="s">
        <v>259</v>
      </c>
      <c r="C549" t="s">
        <v>260</v>
      </c>
      <c r="D549" t="s">
        <v>10</v>
      </c>
      <c r="E549">
        <v>1109357.96</v>
      </c>
      <c r="F549">
        <v>17</v>
      </c>
      <c r="G549">
        <v>18859085.32</v>
      </c>
      <c r="H549" t="s">
        <v>1017</v>
      </c>
    </row>
    <row r="550" spans="1:8" x14ac:dyDescent="0.25">
      <c r="A550" t="s">
        <v>1272</v>
      </c>
      <c r="B550" t="s">
        <v>831</v>
      </c>
      <c r="C550" t="s">
        <v>832</v>
      </c>
      <c r="D550" t="s">
        <v>14</v>
      </c>
      <c r="E550">
        <v>453591.38</v>
      </c>
      <c r="F550">
        <v>107</v>
      </c>
      <c r="G550">
        <v>48534277.659999996</v>
      </c>
      <c r="H550" t="s">
        <v>1017</v>
      </c>
    </row>
    <row r="551" spans="1:8" x14ac:dyDescent="0.25">
      <c r="A551" t="s">
        <v>1272</v>
      </c>
      <c r="B551" t="s">
        <v>111</v>
      </c>
      <c r="C551" t="s">
        <v>112</v>
      </c>
      <c r="D551" t="s">
        <v>19</v>
      </c>
      <c r="E551">
        <v>586890.44999999995</v>
      </c>
      <c r="F551">
        <v>75</v>
      </c>
      <c r="G551">
        <v>44016783.75</v>
      </c>
      <c r="H551" t="s">
        <v>1017</v>
      </c>
    </row>
    <row r="552" spans="1:8" x14ac:dyDescent="0.25">
      <c r="A552" t="s">
        <v>1272</v>
      </c>
      <c r="B552" t="s">
        <v>593</v>
      </c>
      <c r="C552" t="s">
        <v>594</v>
      </c>
      <c r="D552" t="s">
        <v>19</v>
      </c>
      <c r="E552">
        <v>598370.96</v>
      </c>
      <c r="F552">
        <v>39</v>
      </c>
      <c r="G552">
        <v>23336467.440000001</v>
      </c>
      <c r="H552" t="s">
        <v>1017</v>
      </c>
    </row>
    <row r="553" spans="1:8" x14ac:dyDescent="0.25">
      <c r="A553" t="s">
        <v>1272</v>
      </c>
      <c r="B553" t="s">
        <v>511</v>
      </c>
      <c r="C553" t="s">
        <v>512</v>
      </c>
      <c r="D553" t="s">
        <v>10</v>
      </c>
      <c r="E553">
        <v>465314.19</v>
      </c>
      <c r="F553">
        <v>16</v>
      </c>
      <c r="G553">
        <v>7445027.04</v>
      </c>
      <c r="H553" t="s">
        <v>1017</v>
      </c>
    </row>
    <row r="554" spans="1:8" x14ac:dyDescent="0.25">
      <c r="A554" t="s">
        <v>1273</v>
      </c>
      <c r="B554" t="s">
        <v>231</v>
      </c>
      <c r="C554" t="s">
        <v>232</v>
      </c>
      <c r="D554" t="s">
        <v>10</v>
      </c>
      <c r="E554">
        <v>275332.96999999997</v>
      </c>
      <c r="F554">
        <v>59</v>
      </c>
      <c r="G554">
        <v>16244645.23</v>
      </c>
      <c r="H554" t="s">
        <v>1017</v>
      </c>
    </row>
    <row r="555" spans="1:8" x14ac:dyDescent="0.25">
      <c r="A555" t="s">
        <v>1273</v>
      </c>
      <c r="B555" t="s">
        <v>239</v>
      </c>
      <c r="C555" t="s">
        <v>240</v>
      </c>
      <c r="D555" t="s">
        <v>10</v>
      </c>
      <c r="E555">
        <v>798380.97</v>
      </c>
      <c r="F555">
        <v>93</v>
      </c>
      <c r="G555">
        <v>74249430.209999993</v>
      </c>
      <c r="H555" t="s">
        <v>1017</v>
      </c>
    </row>
    <row r="556" spans="1:8" x14ac:dyDescent="0.25">
      <c r="A556" t="s">
        <v>1274</v>
      </c>
      <c r="B556" t="s">
        <v>393</v>
      </c>
      <c r="C556" t="s">
        <v>394</v>
      </c>
      <c r="D556" t="s">
        <v>26</v>
      </c>
      <c r="E556">
        <v>1118419.75</v>
      </c>
      <c r="F556">
        <v>43</v>
      </c>
      <c r="G556">
        <v>48092049.25</v>
      </c>
      <c r="H556" t="s">
        <v>1017</v>
      </c>
    </row>
    <row r="557" spans="1:8" x14ac:dyDescent="0.25">
      <c r="A557" t="s">
        <v>1274</v>
      </c>
      <c r="B557" t="s">
        <v>233</v>
      </c>
      <c r="C557" t="s">
        <v>234</v>
      </c>
      <c r="D557" t="s">
        <v>26</v>
      </c>
      <c r="E557">
        <v>3115501.78</v>
      </c>
      <c r="F557">
        <v>30</v>
      </c>
      <c r="G557">
        <v>93465053.400000006</v>
      </c>
      <c r="H557" t="s">
        <v>1017</v>
      </c>
    </row>
    <row r="558" spans="1:8" x14ac:dyDescent="0.25">
      <c r="A558" t="s">
        <v>1275</v>
      </c>
      <c r="B558" t="s">
        <v>729</v>
      </c>
      <c r="C558" t="s">
        <v>730</v>
      </c>
      <c r="D558" t="s">
        <v>10</v>
      </c>
      <c r="E558">
        <v>331012.37</v>
      </c>
      <c r="F558">
        <v>43</v>
      </c>
      <c r="G558">
        <v>14233531.91</v>
      </c>
      <c r="H558" t="s">
        <v>1017</v>
      </c>
    </row>
    <row r="559" spans="1:8" x14ac:dyDescent="0.25">
      <c r="A559" t="s">
        <v>1275</v>
      </c>
      <c r="B559" t="s">
        <v>919</v>
      </c>
      <c r="C559" t="s">
        <v>920</v>
      </c>
      <c r="D559" t="s">
        <v>19</v>
      </c>
      <c r="E559">
        <v>78843.23</v>
      </c>
      <c r="F559">
        <v>13</v>
      </c>
      <c r="G559">
        <v>1024961.99</v>
      </c>
      <c r="H559" t="s">
        <v>1017</v>
      </c>
    </row>
    <row r="560" spans="1:8" x14ac:dyDescent="0.25">
      <c r="A560" t="s">
        <v>1275</v>
      </c>
      <c r="B560" t="s">
        <v>137</v>
      </c>
      <c r="C560" t="s">
        <v>138</v>
      </c>
      <c r="D560" t="s">
        <v>10</v>
      </c>
      <c r="E560">
        <v>167952.94</v>
      </c>
      <c r="F560">
        <v>5</v>
      </c>
      <c r="G560">
        <v>839764.7</v>
      </c>
      <c r="H560" t="s">
        <v>1017</v>
      </c>
    </row>
    <row r="561" spans="1:8" x14ac:dyDescent="0.25">
      <c r="A561" t="s">
        <v>1275</v>
      </c>
      <c r="B561" t="s">
        <v>303</v>
      </c>
      <c r="C561" t="s">
        <v>304</v>
      </c>
      <c r="D561" t="s">
        <v>19</v>
      </c>
      <c r="E561">
        <v>590354.63</v>
      </c>
      <c r="F561">
        <v>111</v>
      </c>
      <c r="G561">
        <v>65529363.93</v>
      </c>
      <c r="H561" t="s">
        <v>1017</v>
      </c>
    </row>
    <row r="562" spans="1:8" x14ac:dyDescent="0.25">
      <c r="A562" t="s">
        <v>1275</v>
      </c>
      <c r="B562" t="s">
        <v>131</v>
      </c>
      <c r="C562" t="s">
        <v>132</v>
      </c>
      <c r="D562" t="s">
        <v>26</v>
      </c>
      <c r="E562">
        <v>2526144.83</v>
      </c>
      <c r="F562">
        <v>43</v>
      </c>
      <c r="G562">
        <v>108624227.69</v>
      </c>
      <c r="H562" t="s">
        <v>1017</v>
      </c>
    </row>
    <row r="563" spans="1:8" x14ac:dyDescent="0.25">
      <c r="A563" t="s">
        <v>1275</v>
      </c>
      <c r="B563" t="s">
        <v>585</v>
      </c>
      <c r="C563" t="s">
        <v>586</v>
      </c>
      <c r="D563" t="s">
        <v>10</v>
      </c>
      <c r="E563">
        <v>1493162.38</v>
      </c>
      <c r="F563">
        <v>88</v>
      </c>
      <c r="G563">
        <v>131398289.44</v>
      </c>
      <c r="H563" t="s">
        <v>1017</v>
      </c>
    </row>
    <row r="564" spans="1:8" x14ac:dyDescent="0.25">
      <c r="A564" t="s">
        <v>1276</v>
      </c>
      <c r="B564" t="s">
        <v>427</v>
      </c>
      <c r="C564" t="s">
        <v>428</v>
      </c>
      <c r="D564" t="s">
        <v>10</v>
      </c>
      <c r="E564">
        <v>941355.55</v>
      </c>
      <c r="F564">
        <v>92</v>
      </c>
      <c r="G564">
        <v>86604710.599999994</v>
      </c>
      <c r="H564" t="s">
        <v>1017</v>
      </c>
    </row>
    <row r="565" spans="1:8" x14ac:dyDescent="0.25">
      <c r="A565" t="s">
        <v>1276</v>
      </c>
      <c r="B565" t="s">
        <v>147</v>
      </c>
      <c r="C565" t="s">
        <v>148</v>
      </c>
      <c r="D565" t="s">
        <v>19</v>
      </c>
      <c r="E565">
        <v>1122817.8600000001</v>
      </c>
      <c r="F565">
        <v>16</v>
      </c>
      <c r="G565">
        <v>17965085.760000002</v>
      </c>
      <c r="H565" t="s">
        <v>1017</v>
      </c>
    </row>
    <row r="566" spans="1:8" x14ac:dyDescent="0.25">
      <c r="A566" t="s">
        <v>1277</v>
      </c>
      <c r="B566" t="s">
        <v>729</v>
      </c>
      <c r="C566" t="s">
        <v>730</v>
      </c>
      <c r="D566" t="s">
        <v>10</v>
      </c>
      <c r="E566">
        <v>352121.13</v>
      </c>
      <c r="F566">
        <v>5</v>
      </c>
      <c r="G566">
        <v>1760605.65</v>
      </c>
      <c r="H566" t="s">
        <v>1017</v>
      </c>
    </row>
    <row r="567" spans="1:8" x14ac:dyDescent="0.25">
      <c r="A567" t="s">
        <v>1277</v>
      </c>
      <c r="B567" t="s">
        <v>763</v>
      </c>
      <c r="C567" t="s">
        <v>764</v>
      </c>
      <c r="D567" t="s">
        <v>19</v>
      </c>
      <c r="E567">
        <v>271160.90999999997</v>
      </c>
      <c r="F567">
        <v>31</v>
      </c>
      <c r="G567">
        <v>8405988.2100000009</v>
      </c>
      <c r="H567" t="s">
        <v>1017</v>
      </c>
    </row>
    <row r="568" spans="1:8" x14ac:dyDescent="0.25">
      <c r="A568" t="s">
        <v>1277</v>
      </c>
      <c r="B568" t="s">
        <v>575</v>
      </c>
      <c r="C568" t="s">
        <v>576</v>
      </c>
      <c r="D568" t="s">
        <v>10</v>
      </c>
      <c r="E568">
        <v>590334.67000000004</v>
      </c>
      <c r="F568">
        <v>28</v>
      </c>
      <c r="G568">
        <v>16529370.76</v>
      </c>
      <c r="H568" t="s">
        <v>1017</v>
      </c>
    </row>
    <row r="569" spans="1:8" x14ac:dyDescent="0.25">
      <c r="A569" t="s">
        <v>1277</v>
      </c>
      <c r="B569" t="s">
        <v>185</v>
      </c>
      <c r="C569" t="s">
        <v>186</v>
      </c>
      <c r="D569" t="s">
        <v>26</v>
      </c>
      <c r="E569">
        <v>1605604.2</v>
      </c>
      <c r="F569">
        <v>7</v>
      </c>
      <c r="G569">
        <v>11239229.4</v>
      </c>
      <c r="H569" t="s">
        <v>1017</v>
      </c>
    </row>
    <row r="570" spans="1:8" x14ac:dyDescent="0.25">
      <c r="A570" t="s">
        <v>1278</v>
      </c>
      <c r="B570" t="s">
        <v>923</v>
      </c>
      <c r="C570" t="s">
        <v>924</v>
      </c>
      <c r="D570" t="s">
        <v>19</v>
      </c>
      <c r="E570">
        <v>2016212</v>
      </c>
      <c r="F570">
        <v>91</v>
      </c>
      <c r="G570">
        <v>183475292</v>
      </c>
      <c r="H570" t="s">
        <v>1017</v>
      </c>
    </row>
    <row r="571" spans="1:8" x14ac:dyDescent="0.25">
      <c r="A571" t="s">
        <v>1278</v>
      </c>
      <c r="B571" t="s">
        <v>907</v>
      </c>
      <c r="C571" t="s">
        <v>908</v>
      </c>
      <c r="D571" t="s">
        <v>19</v>
      </c>
      <c r="E571">
        <v>570661.56000000006</v>
      </c>
      <c r="F571">
        <v>114</v>
      </c>
      <c r="G571">
        <v>65055417.840000004</v>
      </c>
      <c r="H571" t="s">
        <v>1017</v>
      </c>
    </row>
    <row r="572" spans="1:8" x14ac:dyDescent="0.25">
      <c r="A572" t="s">
        <v>1278</v>
      </c>
      <c r="B572" t="s">
        <v>83</v>
      </c>
      <c r="C572" t="s">
        <v>84</v>
      </c>
      <c r="D572" t="s">
        <v>19</v>
      </c>
      <c r="E572">
        <v>1785380.47</v>
      </c>
      <c r="F572">
        <v>10</v>
      </c>
      <c r="G572">
        <v>17853804.699999999</v>
      </c>
      <c r="H572" t="s">
        <v>1017</v>
      </c>
    </row>
    <row r="573" spans="1:8" x14ac:dyDescent="0.25">
      <c r="A573" t="s">
        <v>1278</v>
      </c>
      <c r="B573" t="s">
        <v>421</v>
      </c>
      <c r="C573" t="s">
        <v>422</v>
      </c>
      <c r="D573" t="s">
        <v>14</v>
      </c>
      <c r="E573">
        <v>457087.93</v>
      </c>
      <c r="F573">
        <v>24</v>
      </c>
      <c r="G573">
        <v>10970110.32</v>
      </c>
      <c r="H573" t="s">
        <v>1017</v>
      </c>
    </row>
    <row r="574" spans="1:8" x14ac:dyDescent="0.25">
      <c r="A574" t="s">
        <v>1279</v>
      </c>
      <c r="B574" t="s">
        <v>653</v>
      </c>
      <c r="C574" t="s">
        <v>654</v>
      </c>
      <c r="D574" t="s">
        <v>14</v>
      </c>
      <c r="E574">
        <v>1024583.06</v>
      </c>
      <c r="F574">
        <v>100</v>
      </c>
      <c r="G574">
        <v>102458306</v>
      </c>
      <c r="H574" t="s">
        <v>1017</v>
      </c>
    </row>
    <row r="575" spans="1:8" x14ac:dyDescent="0.25">
      <c r="A575" t="s">
        <v>1280</v>
      </c>
      <c r="B575" t="s">
        <v>205</v>
      </c>
      <c r="C575" t="s">
        <v>206</v>
      </c>
      <c r="D575" t="s">
        <v>26</v>
      </c>
      <c r="E575">
        <v>979965.78</v>
      </c>
      <c r="F575">
        <v>17</v>
      </c>
      <c r="G575">
        <v>16659418.26</v>
      </c>
      <c r="H575" t="s">
        <v>1017</v>
      </c>
    </row>
    <row r="576" spans="1:8" x14ac:dyDescent="0.25">
      <c r="A576" t="s">
        <v>1280</v>
      </c>
      <c r="B576" t="s">
        <v>245</v>
      </c>
      <c r="C576" t="s">
        <v>246</v>
      </c>
      <c r="D576" t="s">
        <v>10</v>
      </c>
      <c r="E576">
        <v>1023858.29</v>
      </c>
      <c r="F576">
        <v>119</v>
      </c>
      <c r="G576">
        <v>121839136.51000001</v>
      </c>
      <c r="H576" t="s">
        <v>1017</v>
      </c>
    </row>
    <row r="577" spans="1:8" x14ac:dyDescent="0.25">
      <c r="A577" t="s">
        <v>1281</v>
      </c>
      <c r="B577" t="s">
        <v>249</v>
      </c>
      <c r="C577" t="s">
        <v>250</v>
      </c>
      <c r="D577" t="s">
        <v>14</v>
      </c>
      <c r="E577">
        <v>584018.1</v>
      </c>
      <c r="F577">
        <v>80</v>
      </c>
      <c r="G577">
        <v>46721448</v>
      </c>
      <c r="H577" t="s">
        <v>1017</v>
      </c>
    </row>
    <row r="578" spans="1:8" x14ac:dyDescent="0.25">
      <c r="A578" t="s">
        <v>1281</v>
      </c>
      <c r="B578" t="s">
        <v>875</v>
      </c>
      <c r="C578" t="s">
        <v>876</v>
      </c>
      <c r="D578" t="s">
        <v>19</v>
      </c>
      <c r="E578">
        <v>844602.46</v>
      </c>
      <c r="F578">
        <v>87</v>
      </c>
      <c r="G578">
        <v>73480414.019999996</v>
      </c>
      <c r="H578" t="s">
        <v>1017</v>
      </c>
    </row>
    <row r="579" spans="1:8" x14ac:dyDescent="0.25">
      <c r="A579" t="s">
        <v>1282</v>
      </c>
      <c r="B579" t="s">
        <v>101</v>
      </c>
      <c r="C579" t="s">
        <v>102</v>
      </c>
      <c r="D579" t="s">
        <v>10</v>
      </c>
      <c r="E579">
        <v>447477.67</v>
      </c>
      <c r="F579">
        <v>90</v>
      </c>
      <c r="G579">
        <v>40272990.299999997</v>
      </c>
      <c r="H579" t="s">
        <v>1017</v>
      </c>
    </row>
    <row r="580" spans="1:8" x14ac:dyDescent="0.25">
      <c r="A580" t="s">
        <v>1283</v>
      </c>
      <c r="B580" t="s">
        <v>143</v>
      </c>
      <c r="C580" t="s">
        <v>144</v>
      </c>
      <c r="D580" t="s">
        <v>10</v>
      </c>
      <c r="E580">
        <v>236630.3</v>
      </c>
      <c r="F580">
        <v>30</v>
      </c>
      <c r="G580">
        <v>7098909</v>
      </c>
      <c r="H580" t="s">
        <v>1017</v>
      </c>
    </row>
    <row r="581" spans="1:8" x14ac:dyDescent="0.25">
      <c r="A581" t="s">
        <v>1283</v>
      </c>
      <c r="B581" t="s">
        <v>391</v>
      </c>
      <c r="C581" t="s">
        <v>392</v>
      </c>
      <c r="D581" t="s">
        <v>10</v>
      </c>
      <c r="E581">
        <v>790731.65</v>
      </c>
      <c r="F581">
        <v>96</v>
      </c>
      <c r="G581">
        <v>75910238.400000006</v>
      </c>
      <c r="H581" t="s">
        <v>1017</v>
      </c>
    </row>
    <row r="582" spans="1:8" x14ac:dyDescent="0.25">
      <c r="A582" t="s">
        <v>1283</v>
      </c>
      <c r="B582" t="s">
        <v>441</v>
      </c>
      <c r="C582" t="s">
        <v>442</v>
      </c>
      <c r="D582" t="s">
        <v>26</v>
      </c>
      <c r="E582">
        <v>3856425.82</v>
      </c>
      <c r="F582">
        <v>3</v>
      </c>
      <c r="G582">
        <v>11569277.460000001</v>
      </c>
      <c r="H582" t="s">
        <v>1017</v>
      </c>
    </row>
    <row r="583" spans="1:8" x14ac:dyDescent="0.25">
      <c r="A583" t="s">
        <v>1283</v>
      </c>
      <c r="B583" t="s">
        <v>235</v>
      </c>
      <c r="C583" t="s">
        <v>236</v>
      </c>
      <c r="D583" t="s">
        <v>10</v>
      </c>
      <c r="E583">
        <v>1458144.72</v>
      </c>
      <c r="F583">
        <v>56</v>
      </c>
      <c r="G583">
        <v>81656104.319999993</v>
      </c>
      <c r="H583" t="s">
        <v>1017</v>
      </c>
    </row>
    <row r="584" spans="1:8" x14ac:dyDescent="0.25">
      <c r="A584" t="s">
        <v>1283</v>
      </c>
      <c r="B584" t="s">
        <v>673</v>
      </c>
      <c r="C584" t="s">
        <v>674</v>
      </c>
      <c r="D584" t="s">
        <v>10</v>
      </c>
      <c r="E584">
        <v>880837.62</v>
      </c>
      <c r="F584">
        <v>65</v>
      </c>
      <c r="G584">
        <v>57254445.299999997</v>
      </c>
      <c r="H584" t="s">
        <v>1017</v>
      </c>
    </row>
    <row r="585" spans="1:8" x14ac:dyDescent="0.25">
      <c r="A585" t="s">
        <v>1284</v>
      </c>
      <c r="B585" t="s">
        <v>63</v>
      </c>
      <c r="C585" t="s">
        <v>64</v>
      </c>
      <c r="D585" t="s">
        <v>19</v>
      </c>
      <c r="E585">
        <v>1345922.16</v>
      </c>
      <c r="F585">
        <v>65</v>
      </c>
      <c r="G585">
        <v>87484940.400000006</v>
      </c>
      <c r="H585" t="s">
        <v>1017</v>
      </c>
    </row>
    <row r="586" spans="1:8" x14ac:dyDescent="0.25">
      <c r="A586" t="s">
        <v>1284</v>
      </c>
      <c r="B586" t="s">
        <v>333</v>
      </c>
      <c r="C586" t="s">
        <v>334</v>
      </c>
      <c r="D586" t="s">
        <v>26</v>
      </c>
      <c r="E586">
        <v>2055662.62</v>
      </c>
      <c r="F586">
        <v>63</v>
      </c>
      <c r="G586">
        <v>129506745.06</v>
      </c>
      <c r="H586" t="s">
        <v>1017</v>
      </c>
    </row>
    <row r="587" spans="1:8" x14ac:dyDescent="0.25">
      <c r="A587" t="s">
        <v>1285</v>
      </c>
      <c r="B587" t="s">
        <v>95</v>
      </c>
      <c r="C587" t="s">
        <v>96</v>
      </c>
      <c r="D587" t="s">
        <v>14</v>
      </c>
      <c r="E587">
        <v>871041.31</v>
      </c>
      <c r="F587">
        <v>100</v>
      </c>
      <c r="G587">
        <v>87104131</v>
      </c>
      <c r="H587" t="s">
        <v>1017</v>
      </c>
    </row>
    <row r="588" spans="1:8" x14ac:dyDescent="0.25">
      <c r="A588" t="s">
        <v>1286</v>
      </c>
      <c r="B588" t="s">
        <v>951</v>
      </c>
      <c r="C588" t="s">
        <v>952</v>
      </c>
      <c r="D588" t="s">
        <v>26</v>
      </c>
      <c r="E588">
        <v>1966661.86</v>
      </c>
      <c r="F588">
        <v>11</v>
      </c>
      <c r="G588">
        <v>21633280.460000001</v>
      </c>
      <c r="H588" t="s">
        <v>1017</v>
      </c>
    </row>
    <row r="589" spans="1:8" x14ac:dyDescent="0.25">
      <c r="A589" t="s">
        <v>1286</v>
      </c>
      <c r="B589" t="s">
        <v>713</v>
      </c>
      <c r="C589" t="s">
        <v>714</v>
      </c>
      <c r="D589" t="s">
        <v>26</v>
      </c>
      <c r="E589">
        <v>3186165.29</v>
      </c>
      <c r="F589">
        <v>93</v>
      </c>
      <c r="G589">
        <v>296313371.97000003</v>
      </c>
      <c r="H589" t="s">
        <v>1017</v>
      </c>
    </row>
    <row r="590" spans="1:8" x14ac:dyDescent="0.25">
      <c r="A590" t="s">
        <v>1286</v>
      </c>
      <c r="B590" t="s">
        <v>479</v>
      </c>
      <c r="C590" t="s">
        <v>480</v>
      </c>
      <c r="D590" t="s">
        <v>26</v>
      </c>
      <c r="E590">
        <v>3554181.35</v>
      </c>
      <c r="F590">
        <v>94</v>
      </c>
      <c r="G590">
        <v>334093046.89999998</v>
      </c>
      <c r="H590" t="s">
        <v>1017</v>
      </c>
    </row>
    <row r="591" spans="1:8" x14ac:dyDescent="0.25">
      <c r="A591" t="s">
        <v>1287</v>
      </c>
      <c r="B591" t="s">
        <v>753</v>
      </c>
      <c r="C591" t="s">
        <v>754</v>
      </c>
      <c r="D591" t="s">
        <v>26</v>
      </c>
      <c r="E591">
        <v>403538.61</v>
      </c>
      <c r="F591">
        <v>60</v>
      </c>
      <c r="G591">
        <v>24212316.600000001</v>
      </c>
      <c r="H591" t="s">
        <v>1017</v>
      </c>
    </row>
    <row r="592" spans="1:8" x14ac:dyDescent="0.25">
      <c r="A592" t="s">
        <v>1287</v>
      </c>
      <c r="B592" t="s">
        <v>871</v>
      </c>
      <c r="C592" t="s">
        <v>872</v>
      </c>
      <c r="D592" t="s">
        <v>14</v>
      </c>
      <c r="E592">
        <v>412302.24</v>
      </c>
      <c r="F592">
        <v>77</v>
      </c>
      <c r="G592">
        <v>31747272.48</v>
      </c>
      <c r="H592" t="s">
        <v>1017</v>
      </c>
    </row>
    <row r="593" spans="1:8" x14ac:dyDescent="0.25">
      <c r="A593" t="s">
        <v>1287</v>
      </c>
      <c r="B593" t="s">
        <v>499</v>
      </c>
      <c r="C593" t="s">
        <v>500</v>
      </c>
      <c r="D593" t="s">
        <v>10</v>
      </c>
      <c r="E593">
        <v>455370.78</v>
      </c>
      <c r="F593">
        <v>22</v>
      </c>
      <c r="G593">
        <v>10018157.16</v>
      </c>
      <c r="H593" t="s">
        <v>1017</v>
      </c>
    </row>
    <row r="594" spans="1:8" x14ac:dyDescent="0.25">
      <c r="A594" t="s">
        <v>1288</v>
      </c>
      <c r="B594" t="s">
        <v>719</v>
      </c>
      <c r="C594" t="s">
        <v>720</v>
      </c>
      <c r="D594" t="s">
        <v>19</v>
      </c>
      <c r="E594">
        <v>399927.8</v>
      </c>
      <c r="F594">
        <v>78</v>
      </c>
      <c r="G594">
        <v>31194368.399999999</v>
      </c>
      <c r="H594" t="s">
        <v>1017</v>
      </c>
    </row>
    <row r="595" spans="1:8" x14ac:dyDescent="0.25">
      <c r="A595" t="s">
        <v>1289</v>
      </c>
      <c r="B595" t="s">
        <v>877</v>
      </c>
      <c r="C595" t="s">
        <v>878</v>
      </c>
      <c r="D595" t="s">
        <v>14</v>
      </c>
      <c r="E595">
        <v>768579.94</v>
      </c>
      <c r="F595">
        <v>12</v>
      </c>
      <c r="G595">
        <v>9222959.2799999993</v>
      </c>
      <c r="H595" t="s">
        <v>1017</v>
      </c>
    </row>
    <row r="596" spans="1:8" x14ac:dyDescent="0.25">
      <c r="A596" t="s">
        <v>1289</v>
      </c>
      <c r="B596" t="s">
        <v>8</v>
      </c>
      <c r="C596" t="s">
        <v>9</v>
      </c>
      <c r="D596" t="s">
        <v>10</v>
      </c>
      <c r="E596">
        <v>913821.97</v>
      </c>
      <c r="F596">
        <v>10</v>
      </c>
      <c r="G596">
        <v>9138219.6999999993</v>
      </c>
      <c r="H596" t="s">
        <v>1017</v>
      </c>
    </row>
    <row r="597" spans="1:8" x14ac:dyDescent="0.25">
      <c r="A597" t="s">
        <v>1290</v>
      </c>
      <c r="B597" t="s">
        <v>885</v>
      </c>
      <c r="C597" t="s">
        <v>886</v>
      </c>
      <c r="D597" t="s">
        <v>10</v>
      </c>
      <c r="E597">
        <v>1402006.18</v>
      </c>
      <c r="F597">
        <v>76</v>
      </c>
      <c r="G597">
        <v>106552469.68000001</v>
      </c>
      <c r="H597" t="s">
        <v>1017</v>
      </c>
    </row>
    <row r="598" spans="1:8" x14ac:dyDescent="0.25">
      <c r="A598" t="s">
        <v>1291</v>
      </c>
      <c r="B598" t="s">
        <v>741</v>
      </c>
      <c r="C598" t="s">
        <v>742</v>
      </c>
      <c r="D598" t="s">
        <v>19</v>
      </c>
      <c r="E598">
        <v>750069.52</v>
      </c>
      <c r="F598">
        <v>24</v>
      </c>
      <c r="G598">
        <v>18001668.48</v>
      </c>
      <c r="H598" t="s">
        <v>1017</v>
      </c>
    </row>
    <row r="599" spans="1:8" x14ac:dyDescent="0.25">
      <c r="A599" t="s">
        <v>1291</v>
      </c>
      <c r="B599" t="s">
        <v>963</v>
      </c>
      <c r="C599" t="s">
        <v>964</v>
      </c>
      <c r="D599" t="s">
        <v>26</v>
      </c>
      <c r="E599">
        <v>2755755.93</v>
      </c>
      <c r="F599">
        <v>16</v>
      </c>
      <c r="G599">
        <v>44092094.880000003</v>
      </c>
      <c r="H599" t="s">
        <v>1017</v>
      </c>
    </row>
    <row r="600" spans="1:8" x14ac:dyDescent="0.25">
      <c r="A600" t="s">
        <v>1292</v>
      </c>
      <c r="B600" t="s">
        <v>637</v>
      </c>
      <c r="C600" t="s">
        <v>638</v>
      </c>
      <c r="D600" t="s">
        <v>26</v>
      </c>
      <c r="E600">
        <v>2789482.82</v>
      </c>
      <c r="F600">
        <v>105</v>
      </c>
      <c r="G600">
        <v>292895696.10000002</v>
      </c>
      <c r="H600" t="s">
        <v>1017</v>
      </c>
    </row>
    <row r="601" spans="1:8" x14ac:dyDescent="0.25">
      <c r="A601" t="s">
        <v>1292</v>
      </c>
      <c r="B601" t="s">
        <v>1011</v>
      </c>
      <c r="C601" t="s">
        <v>1012</v>
      </c>
      <c r="D601" t="s">
        <v>26</v>
      </c>
      <c r="E601">
        <v>1751926.61</v>
      </c>
      <c r="F601">
        <v>100</v>
      </c>
      <c r="G601">
        <v>175192661</v>
      </c>
      <c r="H601" t="s">
        <v>1017</v>
      </c>
    </row>
    <row r="602" spans="1:8" x14ac:dyDescent="0.25">
      <c r="A602" t="s">
        <v>1292</v>
      </c>
      <c r="B602" t="s">
        <v>83</v>
      </c>
      <c r="C602" t="s">
        <v>84</v>
      </c>
      <c r="D602" t="s">
        <v>19</v>
      </c>
      <c r="E602">
        <v>1797870.67</v>
      </c>
      <c r="F602">
        <v>102</v>
      </c>
      <c r="G602">
        <v>183382808.34</v>
      </c>
      <c r="H602" t="s">
        <v>1017</v>
      </c>
    </row>
    <row r="603" spans="1:8" x14ac:dyDescent="0.25">
      <c r="A603" t="s">
        <v>1293</v>
      </c>
      <c r="B603" t="s">
        <v>867</v>
      </c>
      <c r="C603" t="s">
        <v>868</v>
      </c>
      <c r="D603" t="s">
        <v>10</v>
      </c>
      <c r="E603">
        <v>1198943.9099999999</v>
      </c>
      <c r="F603">
        <v>75</v>
      </c>
      <c r="G603">
        <v>89920793.25</v>
      </c>
      <c r="H603" t="s">
        <v>1017</v>
      </c>
    </row>
    <row r="604" spans="1:8" x14ac:dyDescent="0.25">
      <c r="A604" t="s">
        <v>1293</v>
      </c>
      <c r="B604" t="s">
        <v>749</v>
      </c>
      <c r="C604" t="s">
        <v>750</v>
      </c>
      <c r="D604" t="s">
        <v>19</v>
      </c>
      <c r="E604">
        <v>248156.63</v>
      </c>
      <c r="F604">
        <v>69</v>
      </c>
      <c r="G604">
        <v>17122807.469999999</v>
      </c>
      <c r="H604" t="s">
        <v>1017</v>
      </c>
    </row>
    <row r="605" spans="1:8" x14ac:dyDescent="0.25">
      <c r="A605" t="s">
        <v>1294</v>
      </c>
      <c r="B605" t="s">
        <v>111</v>
      </c>
      <c r="C605" t="s">
        <v>112</v>
      </c>
      <c r="D605" t="s">
        <v>19</v>
      </c>
      <c r="E605">
        <v>638885.86</v>
      </c>
      <c r="F605">
        <v>22</v>
      </c>
      <c r="G605">
        <v>14055488.92</v>
      </c>
      <c r="H605" t="s">
        <v>1017</v>
      </c>
    </row>
    <row r="606" spans="1:8" x14ac:dyDescent="0.25">
      <c r="A606" t="s">
        <v>1294</v>
      </c>
      <c r="B606" t="s">
        <v>617</v>
      </c>
      <c r="C606" t="s">
        <v>618</v>
      </c>
      <c r="D606" t="s">
        <v>19</v>
      </c>
      <c r="E606">
        <v>280431.67</v>
      </c>
      <c r="F606">
        <v>95</v>
      </c>
      <c r="G606">
        <v>26641008.649999999</v>
      </c>
      <c r="H606" t="s">
        <v>1017</v>
      </c>
    </row>
    <row r="607" spans="1:8" x14ac:dyDescent="0.25">
      <c r="A607" t="s">
        <v>1294</v>
      </c>
      <c r="B607" t="s">
        <v>619</v>
      </c>
      <c r="C607" t="s">
        <v>620</v>
      </c>
      <c r="D607" t="s">
        <v>10</v>
      </c>
      <c r="E607">
        <v>1442978.4</v>
      </c>
      <c r="F607">
        <v>10</v>
      </c>
      <c r="G607">
        <v>14429784</v>
      </c>
      <c r="H607" t="s">
        <v>1017</v>
      </c>
    </row>
    <row r="608" spans="1:8" x14ac:dyDescent="0.25">
      <c r="A608" t="s">
        <v>1294</v>
      </c>
      <c r="B608" t="s">
        <v>907</v>
      </c>
      <c r="C608" t="s">
        <v>908</v>
      </c>
      <c r="D608" t="s">
        <v>19</v>
      </c>
      <c r="E608">
        <v>542432.26</v>
      </c>
      <c r="F608">
        <v>11</v>
      </c>
      <c r="G608">
        <v>5966754.8600000003</v>
      </c>
      <c r="H608" t="s">
        <v>1017</v>
      </c>
    </row>
    <row r="609" spans="1:8" x14ac:dyDescent="0.25">
      <c r="A609" t="s">
        <v>1295</v>
      </c>
      <c r="B609" t="s">
        <v>403</v>
      </c>
      <c r="C609" t="s">
        <v>404</v>
      </c>
      <c r="D609" t="s">
        <v>19</v>
      </c>
      <c r="E609">
        <v>1076696.22</v>
      </c>
      <c r="F609">
        <v>89</v>
      </c>
      <c r="G609">
        <v>95825963.579999998</v>
      </c>
      <c r="H609" t="s">
        <v>1017</v>
      </c>
    </row>
    <row r="610" spans="1:8" x14ac:dyDescent="0.25">
      <c r="A610" t="s">
        <v>1296</v>
      </c>
      <c r="B610" t="s">
        <v>885</v>
      </c>
      <c r="C610" t="s">
        <v>886</v>
      </c>
      <c r="D610" t="s">
        <v>10</v>
      </c>
      <c r="E610">
        <v>1470003.93</v>
      </c>
      <c r="F610">
        <v>106</v>
      </c>
      <c r="G610">
        <v>155820416.58000001</v>
      </c>
      <c r="H610" t="s">
        <v>1017</v>
      </c>
    </row>
    <row r="611" spans="1:8" x14ac:dyDescent="0.25">
      <c r="A611" t="s">
        <v>1296</v>
      </c>
      <c r="B611" t="s">
        <v>951</v>
      </c>
      <c r="C611" t="s">
        <v>952</v>
      </c>
      <c r="D611" t="s">
        <v>26</v>
      </c>
      <c r="E611">
        <v>2024984.65</v>
      </c>
      <c r="F611">
        <v>101</v>
      </c>
      <c r="G611">
        <v>204523449.65000001</v>
      </c>
      <c r="H611" t="s">
        <v>1017</v>
      </c>
    </row>
    <row r="612" spans="1:8" x14ac:dyDescent="0.25">
      <c r="A612" t="s">
        <v>1296</v>
      </c>
      <c r="B612" t="s">
        <v>307</v>
      </c>
      <c r="C612" t="s">
        <v>308</v>
      </c>
      <c r="D612" t="s">
        <v>14</v>
      </c>
      <c r="E612">
        <v>1147836.3500000001</v>
      </c>
      <c r="F612">
        <v>15</v>
      </c>
      <c r="G612">
        <v>17217545.25</v>
      </c>
      <c r="H612" t="s">
        <v>1017</v>
      </c>
    </row>
    <row r="613" spans="1:8" x14ac:dyDescent="0.25">
      <c r="A613" t="s">
        <v>1297</v>
      </c>
      <c r="B613" t="s">
        <v>419</v>
      </c>
      <c r="C613" t="s">
        <v>420</v>
      </c>
      <c r="D613" t="s">
        <v>10</v>
      </c>
      <c r="E613">
        <v>682021.03</v>
      </c>
      <c r="F613">
        <v>94</v>
      </c>
      <c r="G613">
        <v>64109976.82</v>
      </c>
      <c r="H613" t="s">
        <v>1017</v>
      </c>
    </row>
    <row r="614" spans="1:8" x14ac:dyDescent="0.25">
      <c r="A614" t="s">
        <v>1297</v>
      </c>
      <c r="B614" t="s">
        <v>575</v>
      </c>
      <c r="C614" t="s">
        <v>576</v>
      </c>
      <c r="D614" t="s">
        <v>10</v>
      </c>
      <c r="E614">
        <v>592340.99</v>
      </c>
      <c r="F614">
        <v>27</v>
      </c>
      <c r="G614">
        <v>15993206.73</v>
      </c>
      <c r="H614" t="s">
        <v>1017</v>
      </c>
    </row>
    <row r="615" spans="1:8" x14ac:dyDescent="0.25">
      <c r="A615" t="s">
        <v>1298</v>
      </c>
      <c r="B615" t="s">
        <v>849</v>
      </c>
      <c r="C615" t="s">
        <v>850</v>
      </c>
      <c r="D615" t="s">
        <v>19</v>
      </c>
      <c r="E615">
        <v>156054.32</v>
      </c>
      <c r="F615">
        <v>3</v>
      </c>
      <c r="G615">
        <v>468162.96</v>
      </c>
      <c r="H615" t="s">
        <v>1017</v>
      </c>
    </row>
    <row r="616" spans="1:8" x14ac:dyDescent="0.25">
      <c r="A616" t="s">
        <v>1298</v>
      </c>
      <c r="B616" t="s">
        <v>727</v>
      </c>
      <c r="C616" t="s">
        <v>728</v>
      </c>
      <c r="D616" t="s">
        <v>19</v>
      </c>
      <c r="E616">
        <v>445332.12</v>
      </c>
      <c r="F616">
        <v>82</v>
      </c>
      <c r="G616">
        <v>36517233.840000004</v>
      </c>
      <c r="H616" t="s">
        <v>1017</v>
      </c>
    </row>
    <row r="617" spans="1:8" x14ac:dyDescent="0.25">
      <c r="A617" t="s">
        <v>1299</v>
      </c>
      <c r="B617" t="s">
        <v>559</v>
      </c>
      <c r="C617" t="s">
        <v>560</v>
      </c>
      <c r="D617" t="s">
        <v>19</v>
      </c>
      <c r="E617">
        <v>1697283.23</v>
      </c>
      <c r="F617">
        <v>60</v>
      </c>
      <c r="G617">
        <v>101836993.8</v>
      </c>
      <c r="H617" t="s">
        <v>1017</v>
      </c>
    </row>
    <row r="618" spans="1:8" x14ac:dyDescent="0.25">
      <c r="A618" t="s">
        <v>1300</v>
      </c>
      <c r="B618" t="s">
        <v>323</v>
      </c>
      <c r="C618" t="s">
        <v>324</v>
      </c>
      <c r="D618" t="s">
        <v>26</v>
      </c>
      <c r="E618">
        <v>1686648.07</v>
      </c>
      <c r="F618">
        <v>105</v>
      </c>
      <c r="G618">
        <v>177098047.34999999</v>
      </c>
      <c r="H618" t="s">
        <v>1017</v>
      </c>
    </row>
    <row r="619" spans="1:8" x14ac:dyDescent="0.25">
      <c r="A619" t="s">
        <v>1300</v>
      </c>
      <c r="B619" t="s">
        <v>577</v>
      </c>
      <c r="C619" t="s">
        <v>578</v>
      </c>
      <c r="D619" t="s">
        <v>19</v>
      </c>
      <c r="E619">
        <v>968474.37</v>
      </c>
      <c r="F619">
        <v>91</v>
      </c>
      <c r="G619">
        <v>88131167.670000002</v>
      </c>
      <c r="H619" t="s">
        <v>1017</v>
      </c>
    </row>
    <row r="620" spans="1:8" x14ac:dyDescent="0.25">
      <c r="A620" t="s">
        <v>1301</v>
      </c>
      <c r="B620" t="s">
        <v>645</v>
      </c>
      <c r="C620" t="s">
        <v>646</v>
      </c>
      <c r="D620" t="s">
        <v>10</v>
      </c>
      <c r="E620">
        <v>979543.49</v>
      </c>
      <c r="F620">
        <v>68</v>
      </c>
      <c r="G620">
        <v>66608957.32</v>
      </c>
      <c r="H620" t="s">
        <v>1017</v>
      </c>
    </row>
    <row r="621" spans="1:8" x14ac:dyDescent="0.25">
      <c r="A621" t="s">
        <v>1302</v>
      </c>
      <c r="B621" t="s">
        <v>709</v>
      </c>
      <c r="C621" t="s">
        <v>710</v>
      </c>
      <c r="D621" t="s">
        <v>10</v>
      </c>
      <c r="E621">
        <v>1474078.43</v>
      </c>
      <c r="F621">
        <v>11</v>
      </c>
      <c r="G621">
        <v>16214862.73</v>
      </c>
      <c r="H621" t="s">
        <v>1017</v>
      </c>
    </row>
    <row r="622" spans="1:8" x14ac:dyDescent="0.25">
      <c r="A622" t="s">
        <v>1302</v>
      </c>
      <c r="B622" t="s">
        <v>777</v>
      </c>
      <c r="C622" t="s">
        <v>778</v>
      </c>
      <c r="D622" t="s">
        <v>26</v>
      </c>
      <c r="E622">
        <v>2525135.59</v>
      </c>
      <c r="F622">
        <v>27</v>
      </c>
      <c r="G622">
        <v>68178660.930000007</v>
      </c>
      <c r="H622" t="s">
        <v>1017</v>
      </c>
    </row>
    <row r="623" spans="1:8" x14ac:dyDescent="0.25">
      <c r="A623" t="s">
        <v>1302</v>
      </c>
      <c r="B623" t="s">
        <v>591</v>
      </c>
      <c r="C623" t="s">
        <v>592</v>
      </c>
      <c r="D623" t="s">
        <v>10</v>
      </c>
      <c r="E623">
        <v>958227.06</v>
      </c>
      <c r="F623">
        <v>24</v>
      </c>
      <c r="G623">
        <v>22997449.440000001</v>
      </c>
      <c r="H623" t="s">
        <v>1017</v>
      </c>
    </row>
    <row r="624" spans="1:8" x14ac:dyDescent="0.25">
      <c r="A624" t="s">
        <v>1303</v>
      </c>
      <c r="B624" t="s">
        <v>657</v>
      </c>
      <c r="C624" t="s">
        <v>658</v>
      </c>
      <c r="D624" t="s">
        <v>19</v>
      </c>
      <c r="E624">
        <v>912004.26</v>
      </c>
      <c r="F624">
        <v>88</v>
      </c>
      <c r="G624">
        <v>80256374.879999995</v>
      </c>
      <c r="H624" t="s">
        <v>1017</v>
      </c>
    </row>
    <row r="625" spans="1:8" x14ac:dyDescent="0.25">
      <c r="A625" t="s">
        <v>1304</v>
      </c>
      <c r="B625" t="s">
        <v>227</v>
      </c>
      <c r="C625" t="s">
        <v>228</v>
      </c>
      <c r="D625" t="s">
        <v>14</v>
      </c>
      <c r="E625">
        <v>769123.33</v>
      </c>
      <c r="F625">
        <v>90</v>
      </c>
      <c r="G625">
        <v>69221099.700000003</v>
      </c>
      <c r="H625" t="s">
        <v>1017</v>
      </c>
    </row>
    <row r="626" spans="1:8" x14ac:dyDescent="0.25">
      <c r="A626" t="s">
        <v>1305</v>
      </c>
      <c r="B626" t="s">
        <v>609</v>
      </c>
      <c r="C626" t="s">
        <v>610</v>
      </c>
      <c r="D626" t="s">
        <v>14</v>
      </c>
      <c r="E626">
        <v>404576.96</v>
      </c>
      <c r="F626">
        <v>112</v>
      </c>
      <c r="G626">
        <v>45312619.520000003</v>
      </c>
      <c r="H626" t="s">
        <v>1017</v>
      </c>
    </row>
    <row r="627" spans="1:8" x14ac:dyDescent="0.25">
      <c r="A627" t="s">
        <v>1305</v>
      </c>
      <c r="B627" t="s">
        <v>951</v>
      </c>
      <c r="C627" t="s">
        <v>952</v>
      </c>
      <c r="D627" t="s">
        <v>26</v>
      </c>
      <c r="E627">
        <v>1978834.19</v>
      </c>
      <c r="F627">
        <v>66</v>
      </c>
      <c r="G627">
        <v>130603056.54000001</v>
      </c>
      <c r="H627" t="s">
        <v>1017</v>
      </c>
    </row>
    <row r="628" spans="1:8" x14ac:dyDescent="0.25">
      <c r="A628" t="s">
        <v>1306</v>
      </c>
      <c r="B628" t="s">
        <v>929</v>
      </c>
      <c r="C628" t="s">
        <v>930</v>
      </c>
      <c r="D628" t="s">
        <v>10</v>
      </c>
      <c r="E628">
        <v>1172305.2</v>
      </c>
      <c r="F628">
        <v>76</v>
      </c>
      <c r="G628">
        <v>89095195.200000003</v>
      </c>
      <c r="H628" t="s">
        <v>1017</v>
      </c>
    </row>
    <row r="629" spans="1:8" x14ac:dyDescent="0.25">
      <c r="A629" t="s">
        <v>1306</v>
      </c>
      <c r="B629" t="s">
        <v>271</v>
      </c>
      <c r="C629" t="s">
        <v>272</v>
      </c>
      <c r="D629" t="s">
        <v>19</v>
      </c>
      <c r="E629">
        <v>942431.21</v>
      </c>
      <c r="F629">
        <v>12</v>
      </c>
      <c r="G629">
        <v>11309174.52</v>
      </c>
      <c r="H629" t="s">
        <v>1017</v>
      </c>
    </row>
    <row r="630" spans="1:8" x14ac:dyDescent="0.25">
      <c r="A630" t="s">
        <v>1306</v>
      </c>
      <c r="B630" t="s">
        <v>22</v>
      </c>
      <c r="C630" t="s">
        <v>23</v>
      </c>
      <c r="D630" t="s">
        <v>19</v>
      </c>
      <c r="E630">
        <v>94123.01</v>
      </c>
      <c r="F630">
        <v>1</v>
      </c>
      <c r="G630">
        <v>94123.01</v>
      </c>
      <c r="H630" t="s">
        <v>1017</v>
      </c>
    </row>
    <row r="631" spans="1:8" x14ac:dyDescent="0.25">
      <c r="A631" t="s">
        <v>1306</v>
      </c>
      <c r="B631" t="s">
        <v>789</v>
      </c>
      <c r="C631" t="s">
        <v>790</v>
      </c>
      <c r="D631" t="s">
        <v>14</v>
      </c>
      <c r="E631">
        <v>473203.03</v>
      </c>
      <c r="F631">
        <v>97</v>
      </c>
      <c r="G631">
        <v>45900693.909999996</v>
      </c>
      <c r="H631" t="s">
        <v>1017</v>
      </c>
    </row>
    <row r="632" spans="1:8" x14ac:dyDescent="0.25">
      <c r="A632" t="s">
        <v>1307</v>
      </c>
      <c r="B632" t="s">
        <v>359</v>
      </c>
      <c r="C632" t="s">
        <v>360</v>
      </c>
      <c r="D632" t="s">
        <v>10</v>
      </c>
      <c r="E632">
        <v>875176.09</v>
      </c>
      <c r="F632">
        <v>5</v>
      </c>
      <c r="G632">
        <v>4375880.45</v>
      </c>
      <c r="H632" t="s">
        <v>1017</v>
      </c>
    </row>
    <row r="633" spans="1:8" x14ac:dyDescent="0.25">
      <c r="A633" t="s">
        <v>1308</v>
      </c>
      <c r="B633" t="s">
        <v>209</v>
      </c>
      <c r="C633" t="s">
        <v>210</v>
      </c>
      <c r="D633" t="s">
        <v>10</v>
      </c>
      <c r="E633">
        <v>970771.71</v>
      </c>
      <c r="F633">
        <v>57</v>
      </c>
      <c r="G633">
        <v>55333987.469999999</v>
      </c>
      <c r="H633" t="s">
        <v>1017</v>
      </c>
    </row>
    <row r="634" spans="1:8" x14ac:dyDescent="0.25">
      <c r="A634" t="s">
        <v>1308</v>
      </c>
      <c r="B634" t="s">
        <v>215</v>
      </c>
      <c r="C634" t="s">
        <v>216</v>
      </c>
      <c r="D634" t="s">
        <v>19</v>
      </c>
      <c r="E634">
        <v>1177840.72</v>
      </c>
      <c r="F634">
        <v>51</v>
      </c>
      <c r="G634">
        <v>60069876.719999999</v>
      </c>
      <c r="H634" t="s">
        <v>1017</v>
      </c>
    </row>
    <row r="635" spans="1:8" x14ac:dyDescent="0.25">
      <c r="A635" t="s">
        <v>1308</v>
      </c>
      <c r="B635" t="s">
        <v>947</v>
      </c>
      <c r="C635" t="s">
        <v>948</v>
      </c>
      <c r="D635" t="s">
        <v>26</v>
      </c>
      <c r="E635">
        <v>1360342.16</v>
      </c>
      <c r="F635">
        <v>104</v>
      </c>
      <c r="G635">
        <v>141475584.63999999</v>
      </c>
      <c r="H635" t="s">
        <v>1017</v>
      </c>
    </row>
    <row r="636" spans="1:8" x14ac:dyDescent="0.25">
      <c r="A636" t="s">
        <v>1309</v>
      </c>
      <c r="B636" t="s">
        <v>375</v>
      </c>
      <c r="C636" t="s">
        <v>376</v>
      </c>
      <c r="D636" t="s">
        <v>10</v>
      </c>
      <c r="E636">
        <v>1262737.2</v>
      </c>
      <c r="F636">
        <v>13</v>
      </c>
      <c r="G636">
        <v>16415583.6</v>
      </c>
      <c r="H636" t="s">
        <v>1017</v>
      </c>
    </row>
    <row r="637" spans="1:8" x14ac:dyDescent="0.25">
      <c r="A637" t="s">
        <v>1310</v>
      </c>
      <c r="B637" t="s">
        <v>595</v>
      </c>
      <c r="C637" t="s">
        <v>596</v>
      </c>
      <c r="D637" t="s">
        <v>26</v>
      </c>
      <c r="E637">
        <v>3344642.41</v>
      </c>
      <c r="F637">
        <v>30</v>
      </c>
      <c r="G637">
        <v>100339272.3</v>
      </c>
      <c r="H637" t="s">
        <v>1017</v>
      </c>
    </row>
    <row r="638" spans="1:8" x14ac:dyDescent="0.25">
      <c r="A638" t="s">
        <v>1310</v>
      </c>
      <c r="B638" t="s">
        <v>765</v>
      </c>
      <c r="C638" t="s">
        <v>766</v>
      </c>
      <c r="D638" t="s">
        <v>14</v>
      </c>
      <c r="E638">
        <v>801039.51</v>
      </c>
      <c r="F638">
        <v>1</v>
      </c>
      <c r="G638">
        <v>801039.51</v>
      </c>
      <c r="H638" t="s">
        <v>1017</v>
      </c>
    </row>
    <row r="639" spans="1:8" x14ac:dyDescent="0.25">
      <c r="A639" t="s">
        <v>1310</v>
      </c>
      <c r="B639" t="s">
        <v>761</v>
      </c>
      <c r="C639" t="s">
        <v>762</v>
      </c>
      <c r="D639" t="s">
        <v>14</v>
      </c>
      <c r="E639">
        <v>826080.44</v>
      </c>
      <c r="F639">
        <v>27</v>
      </c>
      <c r="G639">
        <v>22304171.879999999</v>
      </c>
      <c r="H639" t="s">
        <v>1017</v>
      </c>
    </row>
    <row r="640" spans="1:8" x14ac:dyDescent="0.25">
      <c r="A640" t="s">
        <v>1311</v>
      </c>
      <c r="B640" t="s">
        <v>799</v>
      </c>
      <c r="C640" t="s">
        <v>800</v>
      </c>
      <c r="D640" t="s">
        <v>19</v>
      </c>
      <c r="E640">
        <v>653867.35</v>
      </c>
      <c r="F640">
        <v>118</v>
      </c>
      <c r="G640">
        <v>77156347.299999997</v>
      </c>
      <c r="H640" t="s">
        <v>1017</v>
      </c>
    </row>
    <row r="641" spans="1:8" x14ac:dyDescent="0.25">
      <c r="A641" t="s">
        <v>1312</v>
      </c>
      <c r="B641" t="s">
        <v>581</v>
      </c>
      <c r="C641" t="s">
        <v>582</v>
      </c>
      <c r="D641" t="s">
        <v>26</v>
      </c>
      <c r="E641">
        <v>3534101.76</v>
      </c>
      <c r="F641">
        <v>39</v>
      </c>
      <c r="G641">
        <v>137829968.63999999</v>
      </c>
      <c r="H641" t="s">
        <v>1017</v>
      </c>
    </row>
    <row r="642" spans="1:8" x14ac:dyDescent="0.25">
      <c r="A642" t="s">
        <v>1312</v>
      </c>
      <c r="B642" t="s">
        <v>61</v>
      </c>
      <c r="C642" t="s">
        <v>62</v>
      </c>
      <c r="D642" t="s">
        <v>10</v>
      </c>
      <c r="E642">
        <v>446466.61</v>
      </c>
      <c r="F642">
        <v>17</v>
      </c>
      <c r="G642">
        <v>7589932.3700000001</v>
      </c>
      <c r="H642" t="s">
        <v>1017</v>
      </c>
    </row>
    <row r="643" spans="1:8" x14ac:dyDescent="0.25">
      <c r="A643" t="s">
        <v>1312</v>
      </c>
      <c r="B643" t="s">
        <v>551</v>
      </c>
      <c r="C643" t="s">
        <v>552</v>
      </c>
      <c r="D643" t="s">
        <v>10</v>
      </c>
      <c r="E643">
        <v>987776.06</v>
      </c>
      <c r="F643">
        <v>25</v>
      </c>
      <c r="G643">
        <v>24694401.5</v>
      </c>
      <c r="H643" t="s">
        <v>1017</v>
      </c>
    </row>
    <row r="644" spans="1:8" x14ac:dyDescent="0.25">
      <c r="A644" t="s">
        <v>1312</v>
      </c>
      <c r="B644" t="s">
        <v>361</v>
      </c>
      <c r="C644" t="s">
        <v>362</v>
      </c>
      <c r="D644" t="s">
        <v>14</v>
      </c>
      <c r="E644">
        <v>1061671.6499999999</v>
      </c>
      <c r="F644">
        <v>29</v>
      </c>
      <c r="G644">
        <v>30788477.850000001</v>
      </c>
      <c r="H644" t="s">
        <v>1017</v>
      </c>
    </row>
    <row r="645" spans="1:8" x14ac:dyDescent="0.25">
      <c r="A645" t="s">
        <v>1313</v>
      </c>
      <c r="B645" t="s">
        <v>979</v>
      </c>
      <c r="C645" t="s">
        <v>980</v>
      </c>
      <c r="D645" t="s">
        <v>14</v>
      </c>
      <c r="E645">
        <v>762217.83</v>
      </c>
      <c r="F645">
        <v>47</v>
      </c>
      <c r="G645">
        <v>35824238.009999998</v>
      </c>
      <c r="H645" t="s">
        <v>1017</v>
      </c>
    </row>
    <row r="646" spans="1:8" x14ac:dyDescent="0.25">
      <c r="A646" t="s">
        <v>1313</v>
      </c>
      <c r="B646" t="s">
        <v>469</v>
      </c>
      <c r="C646" t="s">
        <v>470</v>
      </c>
      <c r="D646" t="s">
        <v>14</v>
      </c>
      <c r="E646">
        <v>708957.34</v>
      </c>
      <c r="F646">
        <v>67</v>
      </c>
      <c r="G646">
        <v>47500141.780000001</v>
      </c>
      <c r="H646" t="s">
        <v>1017</v>
      </c>
    </row>
    <row r="647" spans="1:8" x14ac:dyDescent="0.25">
      <c r="A647" t="s">
        <v>1314</v>
      </c>
      <c r="B647" t="s">
        <v>257</v>
      </c>
      <c r="C647" t="s">
        <v>258</v>
      </c>
      <c r="D647" t="s">
        <v>10</v>
      </c>
      <c r="E647">
        <v>1211768.8700000001</v>
      </c>
      <c r="F647">
        <v>77</v>
      </c>
      <c r="G647">
        <v>93306202.989999995</v>
      </c>
      <c r="H647" t="s">
        <v>1017</v>
      </c>
    </row>
    <row r="648" spans="1:8" x14ac:dyDescent="0.25">
      <c r="A648" t="s">
        <v>1315</v>
      </c>
      <c r="B648" t="s">
        <v>707</v>
      </c>
      <c r="C648" t="s">
        <v>708</v>
      </c>
      <c r="D648" t="s">
        <v>14</v>
      </c>
      <c r="E648">
        <v>556134.42000000004</v>
      </c>
      <c r="F648">
        <v>5</v>
      </c>
      <c r="G648">
        <v>2780672.1</v>
      </c>
      <c r="H648" t="s">
        <v>1017</v>
      </c>
    </row>
    <row r="649" spans="1:8" x14ac:dyDescent="0.25">
      <c r="A649" t="s">
        <v>1315</v>
      </c>
      <c r="B649" t="s">
        <v>495</v>
      </c>
      <c r="C649" t="s">
        <v>496</v>
      </c>
      <c r="D649" t="s">
        <v>10</v>
      </c>
      <c r="E649">
        <v>352493.14</v>
      </c>
      <c r="F649">
        <v>37</v>
      </c>
      <c r="G649">
        <v>13042246.18</v>
      </c>
      <c r="H649" t="s">
        <v>1017</v>
      </c>
    </row>
    <row r="650" spans="1:8" x14ac:dyDescent="0.25">
      <c r="A650" t="s">
        <v>1316</v>
      </c>
      <c r="B650" t="s">
        <v>899</v>
      </c>
      <c r="C650" t="s">
        <v>900</v>
      </c>
      <c r="D650" t="s">
        <v>14</v>
      </c>
      <c r="E650">
        <v>340082.73</v>
      </c>
      <c r="F650">
        <v>16</v>
      </c>
      <c r="G650">
        <v>5441323.6799999997</v>
      </c>
      <c r="H650" t="s">
        <v>1017</v>
      </c>
    </row>
    <row r="651" spans="1:8" x14ac:dyDescent="0.25">
      <c r="A651" t="s">
        <v>1316</v>
      </c>
      <c r="B651" t="s">
        <v>937</v>
      </c>
      <c r="C651" t="s">
        <v>938</v>
      </c>
      <c r="D651" t="s">
        <v>14</v>
      </c>
      <c r="E651">
        <v>575986.69999999995</v>
      </c>
      <c r="F651">
        <v>12</v>
      </c>
      <c r="G651">
        <v>6911840.4000000004</v>
      </c>
      <c r="H651" t="s">
        <v>1017</v>
      </c>
    </row>
    <row r="652" spans="1:8" x14ac:dyDescent="0.25">
      <c r="A652" t="s">
        <v>1317</v>
      </c>
      <c r="B652" t="s">
        <v>829</v>
      </c>
      <c r="C652" t="s">
        <v>830</v>
      </c>
      <c r="D652" t="s">
        <v>19</v>
      </c>
      <c r="E652">
        <v>231602.36</v>
      </c>
      <c r="F652">
        <v>90</v>
      </c>
      <c r="G652">
        <v>20844212.399999999</v>
      </c>
      <c r="H652" t="s">
        <v>1017</v>
      </c>
    </row>
    <row r="653" spans="1:8" x14ac:dyDescent="0.25">
      <c r="A653" t="s">
        <v>1317</v>
      </c>
      <c r="B653" t="s">
        <v>883</v>
      </c>
      <c r="C653" t="s">
        <v>884</v>
      </c>
      <c r="D653" t="s">
        <v>14</v>
      </c>
      <c r="E653">
        <v>803904.29</v>
      </c>
      <c r="F653">
        <v>38</v>
      </c>
      <c r="G653">
        <v>30548363.02</v>
      </c>
      <c r="H653" t="s">
        <v>1017</v>
      </c>
    </row>
    <row r="654" spans="1:8" x14ac:dyDescent="0.25">
      <c r="A654" t="s">
        <v>1318</v>
      </c>
      <c r="B654" t="s">
        <v>307</v>
      </c>
      <c r="C654" t="s">
        <v>308</v>
      </c>
      <c r="D654" t="s">
        <v>14</v>
      </c>
      <c r="E654">
        <v>1153629.31</v>
      </c>
      <c r="F654">
        <v>100</v>
      </c>
      <c r="G654">
        <v>115362931</v>
      </c>
      <c r="H654" t="s">
        <v>1017</v>
      </c>
    </row>
    <row r="655" spans="1:8" x14ac:dyDescent="0.25">
      <c r="A655" t="s">
        <v>1319</v>
      </c>
      <c r="B655" t="s">
        <v>591</v>
      </c>
      <c r="C655" t="s">
        <v>592</v>
      </c>
      <c r="D655" t="s">
        <v>10</v>
      </c>
      <c r="E655">
        <v>1008044.54</v>
      </c>
      <c r="F655">
        <v>37</v>
      </c>
      <c r="G655">
        <v>37297647.979999997</v>
      </c>
      <c r="H655" t="s">
        <v>1017</v>
      </c>
    </row>
    <row r="656" spans="1:8" x14ac:dyDescent="0.25">
      <c r="A656" t="s">
        <v>1319</v>
      </c>
      <c r="B656" t="s">
        <v>359</v>
      </c>
      <c r="C656" t="s">
        <v>360</v>
      </c>
      <c r="D656" t="s">
        <v>10</v>
      </c>
      <c r="E656">
        <v>857516.61</v>
      </c>
      <c r="F656">
        <v>59</v>
      </c>
      <c r="G656">
        <v>50593479.990000002</v>
      </c>
      <c r="H656" t="s">
        <v>1017</v>
      </c>
    </row>
    <row r="657" spans="1:8" x14ac:dyDescent="0.25">
      <c r="A657" t="s">
        <v>1320</v>
      </c>
      <c r="B657" t="s">
        <v>647</v>
      </c>
      <c r="C657" t="s">
        <v>648</v>
      </c>
      <c r="D657" t="s">
        <v>19</v>
      </c>
      <c r="E657">
        <v>1777267.91</v>
      </c>
      <c r="F657">
        <v>103</v>
      </c>
      <c r="G657">
        <v>183058594.72999999</v>
      </c>
      <c r="H657" t="s">
        <v>1017</v>
      </c>
    </row>
    <row r="658" spans="1:8" x14ac:dyDescent="0.25">
      <c r="A658" t="s">
        <v>1320</v>
      </c>
      <c r="B658" t="s">
        <v>73</v>
      </c>
      <c r="C658" t="s">
        <v>74</v>
      </c>
      <c r="D658" t="s">
        <v>10</v>
      </c>
      <c r="E658">
        <v>861175.09</v>
      </c>
      <c r="F658">
        <v>35</v>
      </c>
      <c r="G658">
        <v>30141128.149999999</v>
      </c>
      <c r="H658" t="s">
        <v>1017</v>
      </c>
    </row>
    <row r="659" spans="1:8" x14ac:dyDescent="0.25">
      <c r="A659" t="s">
        <v>1320</v>
      </c>
      <c r="B659" t="s">
        <v>55</v>
      </c>
      <c r="C659" t="s">
        <v>56</v>
      </c>
      <c r="D659" t="s">
        <v>14</v>
      </c>
      <c r="E659">
        <v>995990.91</v>
      </c>
      <c r="F659">
        <v>41</v>
      </c>
      <c r="G659">
        <v>40835627.310000002</v>
      </c>
      <c r="H659" t="s">
        <v>1017</v>
      </c>
    </row>
    <row r="660" spans="1:8" x14ac:dyDescent="0.25">
      <c r="A660" t="s">
        <v>1321</v>
      </c>
      <c r="B660" t="s">
        <v>1001</v>
      </c>
      <c r="C660" t="s">
        <v>1002</v>
      </c>
      <c r="D660" t="s">
        <v>19</v>
      </c>
      <c r="E660">
        <v>1799041.09</v>
      </c>
      <c r="F660">
        <v>3</v>
      </c>
      <c r="G660">
        <v>5397123.2699999996</v>
      </c>
      <c r="H660" t="s">
        <v>1017</v>
      </c>
    </row>
    <row r="661" spans="1:8" x14ac:dyDescent="0.25">
      <c r="A661" t="s">
        <v>1321</v>
      </c>
      <c r="B661" t="s">
        <v>871</v>
      </c>
      <c r="C661" t="s">
        <v>872</v>
      </c>
      <c r="D661" t="s">
        <v>14</v>
      </c>
      <c r="E661">
        <v>382280.97</v>
      </c>
      <c r="F661">
        <v>11</v>
      </c>
      <c r="G661">
        <v>4205090.67</v>
      </c>
      <c r="H661" t="s">
        <v>1017</v>
      </c>
    </row>
    <row r="662" spans="1:8" x14ac:dyDescent="0.25">
      <c r="A662" t="s">
        <v>1321</v>
      </c>
      <c r="B662" t="s">
        <v>777</v>
      </c>
      <c r="C662" t="s">
        <v>778</v>
      </c>
      <c r="D662" t="s">
        <v>26</v>
      </c>
      <c r="E662">
        <v>2462441.89</v>
      </c>
      <c r="F662">
        <v>117</v>
      </c>
      <c r="G662">
        <v>288105701.13</v>
      </c>
      <c r="H662" t="s">
        <v>1017</v>
      </c>
    </row>
    <row r="663" spans="1:8" x14ac:dyDescent="0.25">
      <c r="A663" t="s">
        <v>1322</v>
      </c>
      <c r="B663" t="s">
        <v>351</v>
      </c>
      <c r="C663" t="s">
        <v>352</v>
      </c>
      <c r="D663" t="s">
        <v>14</v>
      </c>
      <c r="E663">
        <v>420832.61</v>
      </c>
      <c r="F663">
        <v>70</v>
      </c>
      <c r="G663">
        <v>29458282.699999999</v>
      </c>
      <c r="H663" t="s">
        <v>1017</v>
      </c>
    </row>
    <row r="664" spans="1:8" x14ac:dyDescent="0.25">
      <c r="A664" t="s">
        <v>1322</v>
      </c>
      <c r="B664" t="s">
        <v>707</v>
      </c>
      <c r="C664" t="s">
        <v>708</v>
      </c>
      <c r="D664" t="s">
        <v>14</v>
      </c>
      <c r="E664">
        <v>540980.13</v>
      </c>
      <c r="F664">
        <v>73</v>
      </c>
      <c r="G664">
        <v>39491549.490000002</v>
      </c>
      <c r="H664" t="s">
        <v>1017</v>
      </c>
    </row>
    <row r="665" spans="1:8" x14ac:dyDescent="0.25">
      <c r="A665" t="s">
        <v>1323</v>
      </c>
      <c r="B665" t="s">
        <v>507</v>
      </c>
      <c r="C665" t="s">
        <v>508</v>
      </c>
      <c r="D665" t="s">
        <v>14</v>
      </c>
      <c r="E665">
        <v>109344.77</v>
      </c>
      <c r="F665">
        <v>31</v>
      </c>
      <c r="G665">
        <v>3389687.87</v>
      </c>
      <c r="H665" t="s">
        <v>1017</v>
      </c>
    </row>
    <row r="666" spans="1:8" x14ac:dyDescent="0.25">
      <c r="A666" t="s">
        <v>1323</v>
      </c>
      <c r="B666" t="s">
        <v>989</v>
      </c>
      <c r="C666" t="s">
        <v>990</v>
      </c>
      <c r="D666" t="s">
        <v>14</v>
      </c>
      <c r="E666">
        <v>1014851.88</v>
      </c>
      <c r="F666">
        <v>83</v>
      </c>
      <c r="G666">
        <v>84232706.040000007</v>
      </c>
      <c r="H666" t="s">
        <v>1017</v>
      </c>
    </row>
    <row r="667" spans="1:8" x14ac:dyDescent="0.25">
      <c r="A667" t="s">
        <v>1324</v>
      </c>
      <c r="B667" t="s">
        <v>261</v>
      </c>
      <c r="C667" t="s">
        <v>262</v>
      </c>
      <c r="D667" t="s">
        <v>10</v>
      </c>
      <c r="E667">
        <v>1594107.19</v>
      </c>
      <c r="F667">
        <v>69</v>
      </c>
      <c r="G667">
        <v>109993396.11</v>
      </c>
      <c r="H667" t="s">
        <v>1017</v>
      </c>
    </row>
    <row r="668" spans="1:8" x14ac:dyDescent="0.25">
      <c r="A668" t="s">
        <v>1325</v>
      </c>
      <c r="B668" t="s">
        <v>527</v>
      </c>
      <c r="C668" t="s">
        <v>528</v>
      </c>
      <c r="D668" t="s">
        <v>14</v>
      </c>
      <c r="E668">
        <v>726272.41</v>
      </c>
      <c r="F668">
        <v>118</v>
      </c>
      <c r="G668">
        <v>85700144.379999995</v>
      </c>
      <c r="H668" t="s">
        <v>1017</v>
      </c>
    </row>
    <row r="669" spans="1:8" x14ac:dyDescent="0.25">
      <c r="A669" t="s">
        <v>1325</v>
      </c>
      <c r="B669" t="s">
        <v>557</v>
      </c>
      <c r="C669" t="s">
        <v>558</v>
      </c>
      <c r="D669" t="s">
        <v>14</v>
      </c>
      <c r="E669">
        <v>468740.31</v>
      </c>
      <c r="F669">
        <v>6</v>
      </c>
      <c r="G669">
        <v>2812441.86</v>
      </c>
      <c r="H669" t="s">
        <v>1017</v>
      </c>
    </row>
    <row r="670" spans="1:8" x14ac:dyDescent="0.25">
      <c r="A670" t="s">
        <v>1326</v>
      </c>
      <c r="B670" t="s">
        <v>557</v>
      </c>
      <c r="C670" t="s">
        <v>558</v>
      </c>
      <c r="D670" t="s">
        <v>14</v>
      </c>
      <c r="E670">
        <v>486122.81</v>
      </c>
      <c r="F670">
        <v>1</v>
      </c>
      <c r="G670">
        <v>486122.81</v>
      </c>
      <c r="H670" t="s">
        <v>1017</v>
      </c>
    </row>
    <row r="671" spans="1:8" x14ac:dyDescent="0.25">
      <c r="A671" t="s">
        <v>1326</v>
      </c>
      <c r="B671" t="s">
        <v>659</v>
      </c>
      <c r="C671" t="s">
        <v>660</v>
      </c>
      <c r="D671" t="s">
        <v>14</v>
      </c>
      <c r="E671">
        <v>1108677.55</v>
      </c>
      <c r="F671">
        <v>109</v>
      </c>
      <c r="G671">
        <v>120845852.95</v>
      </c>
      <c r="H671" t="s">
        <v>1017</v>
      </c>
    </row>
    <row r="672" spans="1:8" x14ac:dyDescent="0.25">
      <c r="A672" t="s">
        <v>1327</v>
      </c>
      <c r="B672" t="s">
        <v>241</v>
      </c>
      <c r="C672" t="s">
        <v>242</v>
      </c>
      <c r="D672" t="s">
        <v>14</v>
      </c>
      <c r="E672">
        <v>1038126.39</v>
      </c>
      <c r="F672">
        <v>40</v>
      </c>
      <c r="G672">
        <v>41525055.600000001</v>
      </c>
      <c r="H672" t="s">
        <v>1017</v>
      </c>
    </row>
    <row r="673" spans="1:8" x14ac:dyDescent="0.25">
      <c r="A673" t="s">
        <v>1327</v>
      </c>
      <c r="B673" t="s">
        <v>479</v>
      </c>
      <c r="C673" t="s">
        <v>480</v>
      </c>
      <c r="D673" t="s">
        <v>26</v>
      </c>
      <c r="E673">
        <v>3263038.77</v>
      </c>
      <c r="F673">
        <v>100</v>
      </c>
      <c r="G673">
        <v>326303877</v>
      </c>
      <c r="H673" t="s">
        <v>1017</v>
      </c>
    </row>
    <row r="674" spans="1:8" x14ac:dyDescent="0.25">
      <c r="A674" t="s">
        <v>1327</v>
      </c>
      <c r="B674" t="s">
        <v>685</v>
      </c>
      <c r="C674" t="s">
        <v>686</v>
      </c>
      <c r="D674" t="s">
        <v>14</v>
      </c>
      <c r="E674">
        <v>1065952.8700000001</v>
      </c>
      <c r="F674">
        <v>95</v>
      </c>
      <c r="G674">
        <v>101265522.65000001</v>
      </c>
      <c r="H674" t="s">
        <v>1017</v>
      </c>
    </row>
    <row r="675" spans="1:8" x14ac:dyDescent="0.25">
      <c r="A675" t="s">
        <v>1327</v>
      </c>
      <c r="B675" t="s">
        <v>775</v>
      </c>
      <c r="C675" t="s">
        <v>776</v>
      </c>
      <c r="D675" t="s">
        <v>14</v>
      </c>
      <c r="E675">
        <v>231537.04</v>
      </c>
      <c r="F675">
        <v>8</v>
      </c>
      <c r="G675">
        <v>1852296.32</v>
      </c>
      <c r="H675" t="s">
        <v>1017</v>
      </c>
    </row>
    <row r="676" spans="1:8" x14ac:dyDescent="0.25">
      <c r="A676" t="s">
        <v>1327</v>
      </c>
      <c r="B676" t="s">
        <v>663</v>
      </c>
      <c r="C676" t="s">
        <v>664</v>
      </c>
      <c r="D676" t="s">
        <v>10</v>
      </c>
      <c r="E676">
        <v>1371896.11</v>
      </c>
      <c r="F676">
        <v>48</v>
      </c>
      <c r="G676">
        <v>65851013.280000001</v>
      </c>
      <c r="H676" t="s">
        <v>1017</v>
      </c>
    </row>
    <row r="677" spans="1:8" x14ac:dyDescent="0.25">
      <c r="A677" t="s">
        <v>1327</v>
      </c>
      <c r="B677" t="s">
        <v>311</v>
      </c>
      <c r="C677" t="s">
        <v>312</v>
      </c>
      <c r="D677" t="s">
        <v>26</v>
      </c>
      <c r="E677">
        <v>1590904.44</v>
      </c>
      <c r="F677">
        <v>10</v>
      </c>
      <c r="G677">
        <v>15909044.4</v>
      </c>
      <c r="H677" t="s">
        <v>1017</v>
      </c>
    </row>
    <row r="678" spans="1:8" x14ac:dyDescent="0.25">
      <c r="A678" t="s">
        <v>1328</v>
      </c>
      <c r="B678" t="s">
        <v>865</v>
      </c>
      <c r="C678" t="s">
        <v>866</v>
      </c>
      <c r="D678" t="s">
        <v>14</v>
      </c>
      <c r="E678">
        <v>1151642.1399999999</v>
      </c>
      <c r="F678">
        <v>42</v>
      </c>
      <c r="G678">
        <v>48368969.880000003</v>
      </c>
      <c r="H678" t="s">
        <v>1017</v>
      </c>
    </row>
    <row r="679" spans="1:8" x14ac:dyDescent="0.25">
      <c r="A679" t="s">
        <v>1328</v>
      </c>
      <c r="B679" t="s">
        <v>631</v>
      </c>
      <c r="C679" t="s">
        <v>632</v>
      </c>
      <c r="D679" t="s">
        <v>19</v>
      </c>
      <c r="E679">
        <v>1534085.56</v>
      </c>
      <c r="F679">
        <v>72</v>
      </c>
      <c r="G679">
        <v>110454160.31999999</v>
      </c>
      <c r="H679" t="s">
        <v>1017</v>
      </c>
    </row>
    <row r="680" spans="1:8" x14ac:dyDescent="0.25">
      <c r="A680" t="s">
        <v>1328</v>
      </c>
      <c r="B680" t="s">
        <v>129</v>
      </c>
      <c r="C680" t="s">
        <v>130</v>
      </c>
      <c r="D680" t="s">
        <v>26</v>
      </c>
      <c r="E680">
        <v>3248735.76</v>
      </c>
      <c r="F680">
        <v>20</v>
      </c>
      <c r="G680">
        <v>64974715.200000003</v>
      </c>
      <c r="H680" t="s">
        <v>1017</v>
      </c>
    </row>
    <row r="681" spans="1:8" x14ac:dyDescent="0.25">
      <c r="A681" t="s">
        <v>1329</v>
      </c>
      <c r="B681" t="s">
        <v>163</v>
      </c>
      <c r="C681" t="s">
        <v>164</v>
      </c>
      <c r="D681" t="s">
        <v>26</v>
      </c>
      <c r="E681">
        <v>1737219.19</v>
      </c>
      <c r="F681">
        <v>120</v>
      </c>
      <c r="G681">
        <v>208466302.80000001</v>
      </c>
      <c r="H681" t="s">
        <v>1017</v>
      </c>
    </row>
    <row r="682" spans="1:8" x14ac:dyDescent="0.25">
      <c r="A682" t="s">
        <v>1329</v>
      </c>
      <c r="B682" t="s">
        <v>715</v>
      </c>
      <c r="C682" t="s">
        <v>716</v>
      </c>
      <c r="D682" t="s">
        <v>26</v>
      </c>
      <c r="E682">
        <v>3056640.47</v>
      </c>
      <c r="F682">
        <v>94</v>
      </c>
      <c r="G682">
        <v>287324204.18000001</v>
      </c>
      <c r="H682" t="s">
        <v>1017</v>
      </c>
    </row>
    <row r="683" spans="1:8" x14ac:dyDescent="0.25">
      <c r="A683" t="s">
        <v>1330</v>
      </c>
      <c r="B683" t="s">
        <v>179</v>
      </c>
      <c r="C683" t="s">
        <v>180</v>
      </c>
      <c r="D683" t="s">
        <v>19</v>
      </c>
      <c r="E683">
        <v>2022650.66</v>
      </c>
      <c r="F683">
        <v>74</v>
      </c>
      <c r="G683">
        <v>149676148.84</v>
      </c>
      <c r="H683" t="s">
        <v>1017</v>
      </c>
    </row>
    <row r="684" spans="1:8" x14ac:dyDescent="0.25">
      <c r="A684" t="s">
        <v>1330</v>
      </c>
      <c r="B684" t="s">
        <v>593</v>
      </c>
      <c r="C684" t="s">
        <v>594</v>
      </c>
      <c r="D684" t="s">
        <v>19</v>
      </c>
      <c r="E684">
        <v>605120.35</v>
      </c>
      <c r="F684">
        <v>89</v>
      </c>
      <c r="G684">
        <v>53855711.149999999</v>
      </c>
      <c r="H684" t="s">
        <v>1017</v>
      </c>
    </row>
    <row r="685" spans="1:8" x14ac:dyDescent="0.25">
      <c r="A685" t="s">
        <v>1331</v>
      </c>
      <c r="B685" t="s">
        <v>245</v>
      </c>
      <c r="C685" t="s">
        <v>246</v>
      </c>
      <c r="D685" t="s">
        <v>10</v>
      </c>
      <c r="E685">
        <v>950666.47</v>
      </c>
      <c r="F685">
        <v>14</v>
      </c>
      <c r="G685">
        <v>13309330.58</v>
      </c>
      <c r="H685" t="s">
        <v>1017</v>
      </c>
    </row>
    <row r="686" spans="1:8" x14ac:dyDescent="0.25">
      <c r="A686" t="s">
        <v>1332</v>
      </c>
      <c r="B686" t="s">
        <v>373</v>
      </c>
      <c r="C686" t="s">
        <v>374</v>
      </c>
      <c r="D686" t="s">
        <v>10</v>
      </c>
      <c r="E686">
        <v>737841.72</v>
      </c>
      <c r="F686">
        <v>25</v>
      </c>
      <c r="G686">
        <v>18446043</v>
      </c>
      <c r="H686" t="s">
        <v>1017</v>
      </c>
    </row>
    <row r="687" spans="1:8" x14ac:dyDescent="0.25">
      <c r="A687" t="s">
        <v>1333</v>
      </c>
      <c r="B687" t="s">
        <v>945</v>
      </c>
      <c r="C687" t="s">
        <v>946</v>
      </c>
      <c r="D687" t="s">
        <v>10</v>
      </c>
      <c r="E687">
        <v>611789.36</v>
      </c>
      <c r="F687">
        <v>54</v>
      </c>
      <c r="G687">
        <v>33036625.440000001</v>
      </c>
      <c r="H687" t="s">
        <v>1017</v>
      </c>
    </row>
    <row r="688" spans="1:8" x14ac:dyDescent="0.25">
      <c r="A688" t="s">
        <v>1333</v>
      </c>
      <c r="B688" t="s">
        <v>937</v>
      </c>
      <c r="C688" t="s">
        <v>938</v>
      </c>
      <c r="D688" t="s">
        <v>14</v>
      </c>
      <c r="E688">
        <v>547759.16</v>
      </c>
      <c r="F688">
        <v>24</v>
      </c>
      <c r="G688">
        <v>13146219.84</v>
      </c>
      <c r="H688" t="s">
        <v>1017</v>
      </c>
    </row>
    <row r="689" spans="1:8" x14ac:dyDescent="0.25">
      <c r="A689" t="s">
        <v>1334</v>
      </c>
      <c r="B689" t="s">
        <v>567</v>
      </c>
      <c r="C689" t="s">
        <v>568</v>
      </c>
      <c r="D689" t="s">
        <v>26</v>
      </c>
      <c r="E689">
        <v>583491.31000000006</v>
      </c>
      <c r="F689">
        <v>33</v>
      </c>
      <c r="G689">
        <v>19255213.23</v>
      </c>
      <c r="H689" t="s">
        <v>1017</v>
      </c>
    </row>
    <row r="690" spans="1:8" x14ac:dyDescent="0.25">
      <c r="A690" t="s">
        <v>1335</v>
      </c>
      <c r="B690" t="s">
        <v>903</v>
      </c>
      <c r="C690" t="s">
        <v>904</v>
      </c>
      <c r="D690" t="s">
        <v>26</v>
      </c>
      <c r="E690">
        <v>427082.45</v>
      </c>
      <c r="F690">
        <v>75</v>
      </c>
      <c r="G690">
        <v>32031183.75</v>
      </c>
      <c r="H690" t="s">
        <v>1017</v>
      </c>
    </row>
    <row r="691" spans="1:8" x14ac:dyDescent="0.25">
      <c r="A691" t="s">
        <v>1335</v>
      </c>
      <c r="B691" t="s">
        <v>481</v>
      </c>
      <c r="C691" t="s">
        <v>482</v>
      </c>
      <c r="D691" t="s">
        <v>14</v>
      </c>
      <c r="E691">
        <v>522668.25</v>
      </c>
      <c r="F691">
        <v>16</v>
      </c>
      <c r="G691">
        <v>8362692</v>
      </c>
      <c r="H691" t="s">
        <v>1017</v>
      </c>
    </row>
    <row r="692" spans="1:8" x14ac:dyDescent="0.25">
      <c r="A692" t="s">
        <v>1336</v>
      </c>
      <c r="B692" t="s">
        <v>453</v>
      </c>
      <c r="C692" t="s">
        <v>454</v>
      </c>
      <c r="D692" t="s">
        <v>19</v>
      </c>
      <c r="E692">
        <v>1425626.69</v>
      </c>
      <c r="F692">
        <v>24</v>
      </c>
      <c r="G692">
        <v>34215040.560000002</v>
      </c>
      <c r="H692" t="s">
        <v>1017</v>
      </c>
    </row>
    <row r="693" spans="1:8" x14ac:dyDescent="0.25">
      <c r="A693" t="s">
        <v>1336</v>
      </c>
      <c r="B693" t="s">
        <v>607</v>
      </c>
      <c r="C693" t="s">
        <v>608</v>
      </c>
      <c r="D693" t="s">
        <v>19</v>
      </c>
      <c r="E693">
        <v>2011074.53</v>
      </c>
      <c r="F693">
        <v>32</v>
      </c>
      <c r="G693">
        <v>64354384.960000001</v>
      </c>
      <c r="H693" t="s">
        <v>1017</v>
      </c>
    </row>
    <row r="694" spans="1:8" x14ac:dyDescent="0.25">
      <c r="A694" t="s">
        <v>1337</v>
      </c>
      <c r="B694" t="s">
        <v>251</v>
      </c>
      <c r="C694" t="s">
        <v>252</v>
      </c>
      <c r="D694" t="s">
        <v>14</v>
      </c>
      <c r="E694">
        <v>389859.83</v>
      </c>
      <c r="F694">
        <v>2</v>
      </c>
      <c r="G694">
        <v>779719.66</v>
      </c>
      <c r="H694" t="s">
        <v>1017</v>
      </c>
    </row>
    <row r="695" spans="1:8" x14ac:dyDescent="0.25">
      <c r="A695" t="s">
        <v>1338</v>
      </c>
      <c r="B695" t="s">
        <v>181</v>
      </c>
      <c r="C695" t="s">
        <v>182</v>
      </c>
      <c r="D695" t="s">
        <v>14</v>
      </c>
      <c r="E695">
        <v>945293.4</v>
      </c>
      <c r="F695">
        <v>91</v>
      </c>
      <c r="G695">
        <v>86021699.400000006</v>
      </c>
      <c r="H695" t="s">
        <v>1017</v>
      </c>
    </row>
    <row r="696" spans="1:8" x14ac:dyDescent="0.25">
      <c r="A696" t="s">
        <v>1338</v>
      </c>
      <c r="B696" t="s">
        <v>529</v>
      </c>
      <c r="C696" t="s">
        <v>530</v>
      </c>
      <c r="D696" t="s">
        <v>14</v>
      </c>
      <c r="E696">
        <v>262648.83</v>
      </c>
      <c r="F696">
        <v>49</v>
      </c>
      <c r="G696">
        <v>12869792.67</v>
      </c>
      <c r="H696" t="s">
        <v>1017</v>
      </c>
    </row>
    <row r="697" spans="1:8" x14ac:dyDescent="0.25">
      <c r="A697" t="s">
        <v>1339</v>
      </c>
      <c r="B697" t="s">
        <v>67</v>
      </c>
      <c r="C697" t="s">
        <v>68</v>
      </c>
      <c r="D697" t="s">
        <v>19</v>
      </c>
      <c r="E697">
        <v>449862.16</v>
      </c>
      <c r="F697">
        <v>114</v>
      </c>
      <c r="G697">
        <v>51284286.240000002</v>
      </c>
      <c r="H697" t="s">
        <v>1017</v>
      </c>
    </row>
    <row r="698" spans="1:8" x14ac:dyDescent="0.25">
      <c r="A698" t="s">
        <v>1340</v>
      </c>
      <c r="B698" t="s">
        <v>689</v>
      </c>
      <c r="C698" t="s">
        <v>690</v>
      </c>
      <c r="D698" t="s">
        <v>10</v>
      </c>
      <c r="E698">
        <v>1148166.51</v>
      </c>
      <c r="F698">
        <v>13</v>
      </c>
      <c r="G698">
        <v>14926164.630000001</v>
      </c>
      <c r="H698" t="s">
        <v>1017</v>
      </c>
    </row>
    <row r="699" spans="1:8" x14ac:dyDescent="0.25">
      <c r="A699" t="s">
        <v>1340</v>
      </c>
      <c r="B699" t="s">
        <v>399</v>
      </c>
      <c r="C699" t="s">
        <v>400</v>
      </c>
      <c r="D699" t="s">
        <v>19</v>
      </c>
      <c r="E699">
        <v>795705.35</v>
      </c>
      <c r="F699">
        <v>103</v>
      </c>
      <c r="G699">
        <v>81957651.049999997</v>
      </c>
      <c r="H699" t="s">
        <v>1017</v>
      </c>
    </row>
    <row r="700" spans="1:8" x14ac:dyDescent="0.25">
      <c r="A700" t="s">
        <v>1340</v>
      </c>
      <c r="B700" t="s">
        <v>253</v>
      </c>
      <c r="C700" t="s">
        <v>254</v>
      </c>
      <c r="D700" t="s">
        <v>19</v>
      </c>
      <c r="E700">
        <v>1058167.58</v>
      </c>
      <c r="F700">
        <v>10</v>
      </c>
      <c r="G700">
        <v>10581675.800000001</v>
      </c>
      <c r="H700" t="s">
        <v>1017</v>
      </c>
    </row>
    <row r="701" spans="1:8" x14ac:dyDescent="0.25">
      <c r="A701" t="s">
        <v>1340</v>
      </c>
      <c r="B701" t="s">
        <v>489</v>
      </c>
      <c r="C701" t="s">
        <v>490</v>
      </c>
      <c r="D701" t="s">
        <v>10</v>
      </c>
      <c r="E701">
        <v>1515095.66</v>
      </c>
      <c r="F701">
        <v>93</v>
      </c>
      <c r="G701">
        <v>140903896.38</v>
      </c>
      <c r="H701" t="s">
        <v>1017</v>
      </c>
    </row>
    <row r="702" spans="1:8" x14ac:dyDescent="0.25">
      <c r="A702" t="s">
        <v>1341</v>
      </c>
      <c r="B702" t="s">
        <v>583</v>
      </c>
      <c r="C702" t="s">
        <v>584</v>
      </c>
      <c r="D702" t="s">
        <v>10</v>
      </c>
      <c r="E702">
        <v>902090.11</v>
      </c>
      <c r="F702">
        <v>34</v>
      </c>
      <c r="G702">
        <v>30671063.739999998</v>
      </c>
      <c r="H702" t="s">
        <v>1017</v>
      </c>
    </row>
    <row r="703" spans="1:8" x14ac:dyDescent="0.25">
      <c r="A703" t="s">
        <v>1342</v>
      </c>
      <c r="B703" t="s">
        <v>359</v>
      </c>
      <c r="C703" t="s">
        <v>360</v>
      </c>
      <c r="D703" t="s">
        <v>10</v>
      </c>
      <c r="E703">
        <v>792459.42</v>
      </c>
      <c r="F703">
        <v>44</v>
      </c>
      <c r="G703">
        <v>34868214.479999997</v>
      </c>
      <c r="H703" t="s">
        <v>1017</v>
      </c>
    </row>
    <row r="704" spans="1:8" x14ac:dyDescent="0.25">
      <c r="A704" t="s">
        <v>1342</v>
      </c>
      <c r="B704" t="s">
        <v>483</v>
      </c>
      <c r="C704" t="s">
        <v>484</v>
      </c>
      <c r="D704" t="s">
        <v>14</v>
      </c>
      <c r="E704">
        <v>1159408.8400000001</v>
      </c>
      <c r="F704">
        <v>56</v>
      </c>
      <c r="G704">
        <v>64926895.039999999</v>
      </c>
      <c r="H704" t="s">
        <v>1017</v>
      </c>
    </row>
    <row r="705" spans="1:8" x14ac:dyDescent="0.25">
      <c r="A705" t="s">
        <v>1343</v>
      </c>
      <c r="B705" t="s">
        <v>239</v>
      </c>
      <c r="C705" t="s">
        <v>240</v>
      </c>
      <c r="D705" t="s">
        <v>10</v>
      </c>
      <c r="E705">
        <v>817776.47</v>
      </c>
      <c r="F705">
        <v>67</v>
      </c>
      <c r="G705">
        <v>54791023.490000002</v>
      </c>
      <c r="H705" t="s">
        <v>1017</v>
      </c>
    </row>
    <row r="706" spans="1:8" x14ac:dyDescent="0.25">
      <c r="A706" t="s">
        <v>1343</v>
      </c>
      <c r="B706" t="s">
        <v>263</v>
      </c>
      <c r="C706" t="s">
        <v>264</v>
      </c>
      <c r="D706" t="s">
        <v>14</v>
      </c>
      <c r="E706">
        <v>844656.61</v>
      </c>
      <c r="F706">
        <v>60</v>
      </c>
      <c r="G706">
        <v>50679396.600000001</v>
      </c>
      <c r="H706" t="s">
        <v>1017</v>
      </c>
    </row>
    <row r="707" spans="1:8" x14ac:dyDescent="0.25">
      <c r="A707" t="s">
        <v>1344</v>
      </c>
      <c r="B707" t="s">
        <v>959</v>
      </c>
      <c r="C707" t="s">
        <v>960</v>
      </c>
      <c r="D707" t="s">
        <v>26</v>
      </c>
      <c r="E707">
        <v>3405902.74</v>
      </c>
      <c r="F707">
        <v>22</v>
      </c>
      <c r="G707">
        <v>74929860.280000001</v>
      </c>
      <c r="H707" t="s">
        <v>1017</v>
      </c>
    </row>
    <row r="708" spans="1:8" x14ac:dyDescent="0.25">
      <c r="A708" t="s">
        <v>1344</v>
      </c>
      <c r="B708" t="s">
        <v>553</v>
      </c>
      <c r="C708" t="s">
        <v>554</v>
      </c>
      <c r="D708" t="s">
        <v>19</v>
      </c>
      <c r="E708">
        <v>135091.79</v>
      </c>
      <c r="F708">
        <v>90</v>
      </c>
      <c r="G708">
        <v>12158261.1</v>
      </c>
      <c r="H708" t="s">
        <v>1017</v>
      </c>
    </row>
    <row r="709" spans="1:8" x14ac:dyDescent="0.25">
      <c r="A709" t="s">
        <v>1345</v>
      </c>
      <c r="B709" t="s">
        <v>325</v>
      </c>
      <c r="C709" t="s">
        <v>326</v>
      </c>
      <c r="D709" t="s">
        <v>19</v>
      </c>
      <c r="E709">
        <v>432433.55</v>
      </c>
      <c r="F709">
        <v>15</v>
      </c>
      <c r="G709">
        <v>6486503.25</v>
      </c>
      <c r="H709" t="s">
        <v>1017</v>
      </c>
    </row>
    <row r="710" spans="1:8" x14ac:dyDescent="0.25">
      <c r="A710" t="s">
        <v>1346</v>
      </c>
      <c r="B710" t="s">
        <v>917</v>
      </c>
      <c r="C710" t="s">
        <v>918</v>
      </c>
      <c r="D710" t="s">
        <v>14</v>
      </c>
      <c r="E710">
        <v>886233.72</v>
      </c>
      <c r="F710">
        <v>70</v>
      </c>
      <c r="G710">
        <v>62036360.399999999</v>
      </c>
      <c r="H710" t="s">
        <v>1017</v>
      </c>
    </row>
    <row r="711" spans="1:8" x14ac:dyDescent="0.25">
      <c r="A711" t="s">
        <v>1346</v>
      </c>
      <c r="B711" t="s">
        <v>387</v>
      </c>
      <c r="C711" t="s">
        <v>388</v>
      </c>
      <c r="D711" t="s">
        <v>19</v>
      </c>
      <c r="E711">
        <v>80344.259999999995</v>
      </c>
      <c r="F711">
        <v>79</v>
      </c>
      <c r="G711">
        <v>6347196.54</v>
      </c>
      <c r="H711" t="s">
        <v>1017</v>
      </c>
    </row>
    <row r="712" spans="1:8" x14ac:dyDescent="0.25">
      <c r="A712" t="s">
        <v>1346</v>
      </c>
      <c r="B712" t="s">
        <v>603</v>
      </c>
      <c r="C712" t="s">
        <v>604</v>
      </c>
      <c r="D712" t="s">
        <v>10</v>
      </c>
      <c r="E712">
        <v>505820.99</v>
      </c>
      <c r="F712">
        <v>38</v>
      </c>
      <c r="G712">
        <v>19221197.620000001</v>
      </c>
      <c r="H712" t="s">
        <v>1017</v>
      </c>
    </row>
    <row r="713" spans="1:8" x14ac:dyDescent="0.25">
      <c r="A713" t="s">
        <v>1347</v>
      </c>
      <c r="B713" t="s">
        <v>209</v>
      </c>
      <c r="C713" t="s">
        <v>210</v>
      </c>
      <c r="D713" t="s">
        <v>10</v>
      </c>
      <c r="E713">
        <v>905300.35</v>
      </c>
      <c r="F713">
        <v>59</v>
      </c>
      <c r="G713">
        <v>53412720.649999999</v>
      </c>
      <c r="H713" t="s">
        <v>1017</v>
      </c>
    </row>
    <row r="714" spans="1:8" x14ac:dyDescent="0.25">
      <c r="A714" t="s">
        <v>1347</v>
      </c>
      <c r="B714" t="s">
        <v>501</v>
      </c>
      <c r="C714" t="s">
        <v>502</v>
      </c>
      <c r="D714" t="s">
        <v>19</v>
      </c>
      <c r="E714">
        <v>1073497.3400000001</v>
      </c>
      <c r="F714">
        <v>52</v>
      </c>
      <c r="G714">
        <v>55821861.68</v>
      </c>
      <c r="H714" t="s">
        <v>1017</v>
      </c>
    </row>
    <row r="715" spans="1:8" x14ac:dyDescent="0.25">
      <c r="A715" t="s">
        <v>1348</v>
      </c>
      <c r="B715" t="s">
        <v>445</v>
      </c>
      <c r="C715" t="s">
        <v>446</v>
      </c>
      <c r="D715" t="s">
        <v>10</v>
      </c>
      <c r="E715">
        <v>1405840.09</v>
      </c>
      <c r="F715">
        <v>15</v>
      </c>
      <c r="G715">
        <v>21087601.350000001</v>
      </c>
      <c r="H715" t="s">
        <v>1017</v>
      </c>
    </row>
    <row r="716" spans="1:8" x14ac:dyDescent="0.25">
      <c r="A716" t="s">
        <v>1348</v>
      </c>
      <c r="B716" t="s">
        <v>557</v>
      </c>
      <c r="C716" t="s">
        <v>558</v>
      </c>
      <c r="D716" t="s">
        <v>14</v>
      </c>
      <c r="E716">
        <v>443956.71</v>
      </c>
      <c r="F716">
        <v>23</v>
      </c>
      <c r="G716">
        <v>10211004.33</v>
      </c>
      <c r="H716" t="s">
        <v>1017</v>
      </c>
    </row>
    <row r="717" spans="1:8" x14ac:dyDescent="0.25">
      <c r="A717" t="s">
        <v>1349</v>
      </c>
      <c r="B717" t="s">
        <v>453</v>
      </c>
      <c r="C717" t="s">
        <v>454</v>
      </c>
      <c r="D717" t="s">
        <v>19</v>
      </c>
      <c r="E717">
        <v>1305351.0900000001</v>
      </c>
      <c r="F717">
        <v>96</v>
      </c>
      <c r="G717">
        <v>125313704.64</v>
      </c>
      <c r="H717" t="s">
        <v>1017</v>
      </c>
    </row>
    <row r="718" spans="1:8" x14ac:dyDescent="0.25">
      <c r="A718" t="s">
        <v>1349</v>
      </c>
      <c r="B718" t="s">
        <v>247</v>
      </c>
      <c r="C718" t="s">
        <v>248</v>
      </c>
      <c r="D718" t="s">
        <v>14</v>
      </c>
      <c r="E718">
        <v>421940.74</v>
      </c>
      <c r="F718">
        <v>99</v>
      </c>
      <c r="G718">
        <v>41772133.259999998</v>
      </c>
      <c r="H718" t="s">
        <v>1017</v>
      </c>
    </row>
    <row r="719" spans="1:8" x14ac:dyDescent="0.25">
      <c r="A719" t="s">
        <v>1349</v>
      </c>
      <c r="B719" t="s">
        <v>935</v>
      </c>
      <c r="C719" t="s">
        <v>936</v>
      </c>
      <c r="D719" t="s">
        <v>14</v>
      </c>
      <c r="E719">
        <v>67285.77</v>
      </c>
      <c r="F719">
        <v>64</v>
      </c>
      <c r="G719">
        <v>4306289.28</v>
      </c>
      <c r="H719" t="s">
        <v>1017</v>
      </c>
    </row>
    <row r="720" spans="1:8" x14ac:dyDescent="0.25">
      <c r="A720" t="s">
        <v>1349</v>
      </c>
      <c r="B720" t="s">
        <v>941</v>
      </c>
      <c r="C720" t="s">
        <v>942</v>
      </c>
      <c r="D720" t="s">
        <v>10</v>
      </c>
      <c r="E720">
        <v>1360919.76</v>
      </c>
      <c r="F720">
        <v>102</v>
      </c>
      <c r="G720">
        <v>138813815.52000001</v>
      </c>
      <c r="H720" t="s">
        <v>1017</v>
      </c>
    </row>
    <row r="721" spans="1:8" x14ac:dyDescent="0.25">
      <c r="A721" t="s">
        <v>1349</v>
      </c>
      <c r="B721" t="s">
        <v>103</v>
      </c>
      <c r="C721" t="s">
        <v>104</v>
      </c>
      <c r="D721" t="s">
        <v>14</v>
      </c>
      <c r="E721">
        <v>450143.99</v>
      </c>
      <c r="F721">
        <v>88</v>
      </c>
      <c r="G721">
        <v>39612671.119999997</v>
      </c>
      <c r="H721" t="s">
        <v>1017</v>
      </c>
    </row>
    <row r="722" spans="1:8" x14ac:dyDescent="0.25">
      <c r="A722" t="s">
        <v>1349</v>
      </c>
      <c r="B722" t="s">
        <v>195</v>
      </c>
      <c r="C722" t="s">
        <v>196</v>
      </c>
      <c r="D722" t="s">
        <v>14</v>
      </c>
      <c r="E722">
        <v>306061.48</v>
      </c>
      <c r="F722">
        <v>93</v>
      </c>
      <c r="G722">
        <v>28463717.640000001</v>
      </c>
      <c r="H722" t="s">
        <v>1017</v>
      </c>
    </row>
    <row r="723" spans="1:8" x14ac:dyDescent="0.25">
      <c r="A723" t="s">
        <v>1350</v>
      </c>
      <c r="B723" t="s">
        <v>799</v>
      </c>
      <c r="C723" t="s">
        <v>800</v>
      </c>
      <c r="D723" t="s">
        <v>19</v>
      </c>
      <c r="E723">
        <v>634653.91</v>
      </c>
      <c r="F723">
        <v>31</v>
      </c>
      <c r="G723">
        <v>19674271.210000001</v>
      </c>
      <c r="H723" t="s">
        <v>1017</v>
      </c>
    </row>
    <row r="724" spans="1:8" x14ac:dyDescent="0.25">
      <c r="A724" t="s">
        <v>1350</v>
      </c>
      <c r="B724" t="s">
        <v>905</v>
      </c>
      <c r="C724" t="s">
        <v>906</v>
      </c>
      <c r="D724" t="s">
        <v>19</v>
      </c>
      <c r="E724">
        <v>220662.31</v>
      </c>
      <c r="F724">
        <v>17</v>
      </c>
      <c r="G724">
        <v>3751259.27</v>
      </c>
      <c r="H724" t="s">
        <v>1017</v>
      </c>
    </row>
    <row r="725" spans="1:8" x14ac:dyDescent="0.25">
      <c r="A725" t="s">
        <v>1351</v>
      </c>
      <c r="B725" t="s">
        <v>675</v>
      </c>
      <c r="C725" t="s">
        <v>676</v>
      </c>
      <c r="D725" t="s">
        <v>19</v>
      </c>
      <c r="E725">
        <v>465497.58</v>
      </c>
      <c r="F725">
        <v>40</v>
      </c>
      <c r="G725">
        <v>18619903.199999999</v>
      </c>
      <c r="H725" t="s">
        <v>1017</v>
      </c>
    </row>
    <row r="726" spans="1:8" x14ac:dyDescent="0.25">
      <c r="A726" t="s">
        <v>1352</v>
      </c>
      <c r="B726" t="s">
        <v>253</v>
      </c>
      <c r="C726" t="s">
        <v>254</v>
      </c>
      <c r="D726" t="s">
        <v>19</v>
      </c>
      <c r="E726">
        <v>1065938.98</v>
      </c>
      <c r="F726">
        <v>60</v>
      </c>
      <c r="G726">
        <v>63956338.799999997</v>
      </c>
      <c r="H726" t="s">
        <v>1017</v>
      </c>
    </row>
    <row r="727" spans="1:8" x14ac:dyDescent="0.25">
      <c r="A727" t="s">
        <v>1353</v>
      </c>
      <c r="B727" t="s">
        <v>115</v>
      </c>
      <c r="C727" t="s">
        <v>116</v>
      </c>
      <c r="D727" t="s">
        <v>14</v>
      </c>
      <c r="E727">
        <v>324024.11</v>
      </c>
      <c r="F727">
        <v>11</v>
      </c>
      <c r="G727">
        <v>3564265.21</v>
      </c>
      <c r="H727" t="s">
        <v>1017</v>
      </c>
    </row>
    <row r="728" spans="1:8" x14ac:dyDescent="0.25">
      <c r="A728" t="s">
        <v>1354</v>
      </c>
      <c r="B728" t="s">
        <v>263</v>
      </c>
      <c r="C728" t="s">
        <v>264</v>
      </c>
      <c r="D728" t="s">
        <v>14</v>
      </c>
      <c r="E728">
        <v>891503.89</v>
      </c>
      <c r="F728">
        <v>44</v>
      </c>
      <c r="G728">
        <v>39226171.159999996</v>
      </c>
      <c r="H728" t="s">
        <v>1017</v>
      </c>
    </row>
    <row r="729" spans="1:8" x14ac:dyDescent="0.25">
      <c r="A729" t="s">
        <v>1354</v>
      </c>
      <c r="B729" t="s">
        <v>847</v>
      </c>
      <c r="C729" t="s">
        <v>848</v>
      </c>
      <c r="D729" t="s">
        <v>26</v>
      </c>
      <c r="E729">
        <v>1143731.92</v>
      </c>
      <c r="F729">
        <v>16</v>
      </c>
      <c r="G729">
        <v>18299710.719999999</v>
      </c>
      <c r="H729" t="s">
        <v>1017</v>
      </c>
    </row>
    <row r="730" spans="1:8" x14ac:dyDescent="0.25">
      <c r="A730" t="s">
        <v>1354</v>
      </c>
      <c r="B730" t="s">
        <v>93</v>
      </c>
      <c r="C730" t="s">
        <v>94</v>
      </c>
      <c r="D730" t="s">
        <v>14</v>
      </c>
      <c r="E730">
        <v>371707.61</v>
      </c>
      <c r="F730">
        <v>98</v>
      </c>
      <c r="G730">
        <v>36427345.780000001</v>
      </c>
      <c r="H730" t="s">
        <v>1017</v>
      </c>
    </row>
    <row r="731" spans="1:8" x14ac:dyDescent="0.25">
      <c r="A731" t="s">
        <v>1355</v>
      </c>
      <c r="B731" t="s">
        <v>479</v>
      </c>
      <c r="C731" t="s">
        <v>480</v>
      </c>
      <c r="D731" t="s">
        <v>26</v>
      </c>
      <c r="E731">
        <v>3339763.93</v>
      </c>
      <c r="F731">
        <v>101</v>
      </c>
      <c r="G731">
        <v>337316156.93000001</v>
      </c>
      <c r="H731" t="s">
        <v>1017</v>
      </c>
    </row>
    <row r="732" spans="1:8" x14ac:dyDescent="0.25">
      <c r="A732" t="s">
        <v>1356</v>
      </c>
      <c r="B732" t="s">
        <v>641</v>
      </c>
      <c r="C732" t="s">
        <v>642</v>
      </c>
      <c r="D732" t="s">
        <v>19</v>
      </c>
      <c r="E732">
        <v>1834290.45</v>
      </c>
      <c r="F732">
        <v>68</v>
      </c>
      <c r="G732">
        <v>124731750.59999999</v>
      </c>
      <c r="H732" t="s">
        <v>1017</v>
      </c>
    </row>
    <row r="733" spans="1:8" x14ac:dyDescent="0.25">
      <c r="A733" t="s">
        <v>1356</v>
      </c>
      <c r="B733" t="s">
        <v>325</v>
      </c>
      <c r="C733" t="s">
        <v>326</v>
      </c>
      <c r="D733" t="s">
        <v>19</v>
      </c>
      <c r="E733">
        <v>440345.77</v>
      </c>
      <c r="F733">
        <v>47</v>
      </c>
      <c r="G733">
        <v>20696251.190000001</v>
      </c>
      <c r="H733" t="s">
        <v>1017</v>
      </c>
    </row>
    <row r="734" spans="1:8" x14ac:dyDescent="0.25">
      <c r="A734" t="s">
        <v>1357</v>
      </c>
      <c r="B734" t="s">
        <v>995</v>
      </c>
      <c r="C734" t="s">
        <v>996</v>
      </c>
      <c r="D734" t="s">
        <v>19</v>
      </c>
      <c r="E734">
        <v>630672.43000000005</v>
      </c>
      <c r="F734">
        <v>19</v>
      </c>
      <c r="G734">
        <v>11982776.17</v>
      </c>
      <c r="H734" t="s">
        <v>1017</v>
      </c>
    </row>
    <row r="735" spans="1:8" x14ac:dyDescent="0.25">
      <c r="A735" t="s">
        <v>1357</v>
      </c>
      <c r="B735" t="s">
        <v>511</v>
      </c>
      <c r="C735" t="s">
        <v>512</v>
      </c>
      <c r="D735" t="s">
        <v>10</v>
      </c>
      <c r="E735">
        <v>510552.59</v>
      </c>
      <c r="F735">
        <v>81</v>
      </c>
      <c r="G735">
        <v>41354759.789999999</v>
      </c>
      <c r="H735" t="s">
        <v>1017</v>
      </c>
    </row>
    <row r="736" spans="1:8" x14ac:dyDescent="0.25">
      <c r="A736" t="s">
        <v>1358</v>
      </c>
      <c r="B736" t="s">
        <v>141</v>
      </c>
      <c r="C736" t="s">
        <v>142</v>
      </c>
      <c r="D736" t="s">
        <v>14</v>
      </c>
      <c r="E736">
        <v>562728.18999999994</v>
      </c>
      <c r="F736">
        <v>12</v>
      </c>
      <c r="G736">
        <v>6752738.2800000003</v>
      </c>
      <c r="H736" t="s">
        <v>1017</v>
      </c>
    </row>
    <row r="737" spans="1:8" x14ac:dyDescent="0.25">
      <c r="A737" t="s">
        <v>1358</v>
      </c>
      <c r="B737" t="s">
        <v>675</v>
      </c>
      <c r="C737" t="s">
        <v>676</v>
      </c>
      <c r="D737" t="s">
        <v>19</v>
      </c>
      <c r="E737">
        <v>459470</v>
      </c>
      <c r="F737">
        <v>51</v>
      </c>
      <c r="G737">
        <v>23432970</v>
      </c>
      <c r="H737" t="s">
        <v>1017</v>
      </c>
    </row>
    <row r="738" spans="1:8" x14ac:dyDescent="0.25">
      <c r="A738" t="s">
        <v>1358</v>
      </c>
      <c r="B738" t="s">
        <v>17</v>
      </c>
      <c r="C738" t="s">
        <v>18</v>
      </c>
      <c r="D738" t="s">
        <v>19</v>
      </c>
      <c r="E738">
        <v>1369925.99</v>
      </c>
      <c r="F738">
        <v>84</v>
      </c>
      <c r="G738">
        <v>115073783.16</v>
      </c>
      <c r="H738" t="s">
        <v>1017</v>
      </c>
    </row>
    <row r="739" spans="1:8" x14ac:dyDescent="0.25">
      <c r="A739" t="s">
        <v>1358</v>
      </c>
      <c r="B739" t="s">
        <v>789</v>
      </c>
      <c r="C739" t="s">
        <v>790</v>
      </c>
      <c r="D739" t="s">
        <v>14</v>
      </c>
      <c r="E739">
        <v>465260.39</v>
      </c>
      <c r="F739">
        <v>96</v>
      </c>
      <c r="G739">
        <v>44664997.439999998</v>
      </c>
      <c r="H739" t="s">
        <v>1017</v>
      </c>
    </row>
    <row r="740" spans="1:8" x14ac:dyDescent="0.25">
      <c r="A740" t="s">
        <v>1358</v>
      </c>
      <c r="B740" t="s">
        <v>559</v>
      </c>
      <c r="C740" t="s">
        <v>560</v>
      </c>
      <c r="D740" t="s">
        <v>19</v>
      </c>
      <c r="E740">
        <v>1616624.03</v>
      </c>
      <c r="F740">
        <v>119</v>
      </c>
      <c r="G740">
        <v>192378259.56999999</v>
      </c>
      <c r="H740" t="s">
        <v>1017</v>
      </c>
    </row>
    <row r="741" spans="1:8" x14ac:dyDescent="0.25">
      <c r="A741" t="s">
        <v>1358</v>
      </c>
      <c r="B741" t="s">
        <v>127</v>
      </c>
      <c r="C741" t="s">
        <v>128</v>
      </c>
      <c r="D741" t="s">
        <v>14</v>
      </c>
      <c r="E741">
        <v>1022810.93</v>
      </c>
      <c r="F741">
        <v>98</v>
      </c>
      <c r="G741">
        <v>100235471.14</v>
      </c>
      <c r="H741" t="s">
        <v>1017</v>
      </c>
    </row>
    <row r="742" spans="1:8" x14ac:dyDescent="0.25">
      <c r="A742" t="s">
        <v>1359</v>
      </c>
      <c r="B742" t="s">
        <v>897</v>
      </c>
      <c r="C742" t="s">
        <v>898</v>
      </c>
      <c r="D742" t="s">
        <v>19</v>
      </c>
      <c r="E742">
        <v>1116017.1399999999</v>
      </c>
      <c r="F742">
        <v>42</v>
      </c>
      <c r="G742">
        <v>46872719.880000003</v>
      </c>
      <c r="H742" t="s">
        <v>1017</v>
      </c>
    </row>
    <row r="743" spans="1:8" x14ac:dyDescent="0.25">
      <c r="A743" t="s">
        <v>1359</v>
      </c>
      <c r="B743" t="s">
        <v>899</v>
      </c>
      <c r="C743" t="s">
        <v>900</v>
      </c>
      <c r="D743" t="s">
        <v>14</v>
      </c>
      <c r="E743">
        <v>344705.56</v>
      </c>
      <c r="F743">
        <v>53</v>
      </c>
      <c r="G743">
        <v>18269394.68</v>
      </c>
      <c r="H743" t="s">
        <v>1017</v>
      </c>
    </row>
    <row r="744" spans="1:8" x14ac:dyDescent="0.25">
      <c r="A744" t="s">
        <v>1359</v>
      </c>
      <c r="B744" t="s">
        <v>481</v>
      </c>
      <c r="C744" t="s">
        <v>482</v>
      </c>
      <c r="D744" t="s">
        <v>14</v>
      </c>
      <c r="E744">
        <v>549690.64</v>
      </c>
      <c r="F744">
        <v>78</v>
      </c>
      <c r="G744">
        <v>42875869.920000002</v>
      </c>
      <c r="H744" t="s">
        <v>1017</v>
      </c>
    </row>
    <row r="745" spans="1:8" x14ac:dyDescent="0.25">
      <c r="A745" t="s">
        <v>1359</v>
      </c>
      <c r="B745" t="s">
        <v>927</v>
      </c>
      <c r="C745" t="s">
        <v>928</v>
      </c>
      <c r="D745" t="s">
        <v>10</v>
      </c>
      <c r="E745">
        <v>1479263.18</v>
      </c>
      <c r="F745">
        <v>59</v>
      </c>
      <c r="G745">
        <v>87276527.620000005</v>
      </c>
      <c r="H745" t="s">
        <v>1017</v>
      </c>
    </row>
    <row r="746" spans="1:8" x14ac:dyDescent="0.25">
      <c r="A746" t="s">
        <v>1360</v>
      </c>
      <c r="B746" t="s">
        <v>675</v>
      </c>
      <c r="C746" t="s">
        <v>676</v>
      </c>
      <c r="D746" t="s">
        <v>19</v>
      </c>
      <c r="E746">
        <v>449917.56</v>
      </c>
      <c r="F746">
        <v>32</v>
      </c>
      <c r="G746">
        <v>14397361.92</v>
      </c>
      <c r="H746" t="s">
        <v>1017</v>
      </c>
    </row>
    <row r="747" spans="1:8" x14ac:dyDescent="0.25">
      <c r="A747" t="s">
        <v>1361</v>
      </c>
      <c r="B747" t="s">
        <v>637</v>
      </c>
      <c r="C747" t="s">
        <v>638</v>
      </c>
      <c r="D747" t="s">
        <v>26</v>
      </c>
      <c r="E747">
        <v>2945414.3</v>
      </c>
      <c r="F747">
        <v>27</v>
      </c>
      <c r="G747">
        <v>79526186.099999994</v>
      </c>
      <c r="H747" t="s">
        <v>1017</v>
      </c>
    </row>
    <row r="748" spans="1:8" x14ac:dyDescent="0.25">
      <c r="A748" t="s">
        <v>1361</v>
      </c>
      <c r="B748" t="s">
        <v>885</v>
      </c>
      <c r="C748" t="s">
        <v>886</v>
      </c>
      <c r="D748" t="s">
        <v>10</v>
      </c>
      <c r="E748">
        <v>1439667.94</v>
      </c>
      <c r="F748">
        <v>31</v>
      </c>
      <c r="G748">
        <v>44629706.140000001</v>
      </c>
      <c r="H748" t="s">
        <v>1017</v>
      </c>
    </row>
    <row r="749" spans="1:8" x14ac:dyDescent="0.25">
      <c r="A749" t="s">
        <v>1362</v>
      </c>
      <c r="B749" t="s">
        <v>293</v>
      </c>
      <c r="C749" t="s">
        <v>294</v>
      </c>
      <c r="D749" t="s">
        <v>19</v>
      </c>
      <c r="E749">
        <v>125634.57</v>
      </c>
      <c r="F749">
        <v>118</v>
      </c>
      <c r="G749">
        <v>14824879.26</v>
      </c>
      <c r="H749" t="s">
        <v>1017</v>
      </c>
    </row>
    <row r="750" spans="1:8" x14ac:dyDescent="0.25">
      <c r="A750" t="s">
        <v>1363</v>
      </c>
      <c r="B750" t="s">
        <v>905</v>
      </c>
      <c r="C750" t="s">
        <v>906</v>
      </c>
      <c r="D750" t="s">
        <v>19</v>
      </c>
      <c r="E750">
        <v>220261.65</v>
      </c>
      <c r="F750">
        <v>2</v>
      </c>
      <c r="G750">
        <v>440523.3</v>
      </c>
      <c r="H750" t="s">
        <v>1017</v>
      </c>
    </row>
    <row r="751" spans="1:8" x14ac:dyDescent="0.25">
      <c r="A751" t="s">
        <v>1363</v>
      </c>
      <c r="B751" t="s">
        <v>475</v>
      </c>
      <c r="C751" t="s">
        <v>476</v>
      </c>
      <c r="D751" t="s">
        <v>10</v>
      </c>
      <c r="E751">
        <v>1449758.42</v>
      </c>
      <c r="F751">
        <v>56</v>
      </c>
      <c r="G751">
        <v>81186471.519999996</v>
      </c>
      <c r="H751" t="s">
        <v>1017</v>
      </c>
    </row>
    <row r="752" spans="1:8" x14ac:dyDescent="0.25">
      <c r="A752" t="s">
        <v>1363</v>
      </c>
      <c r="B752" t="s">
        <v>785</v>
      </c>
      <c r="C752" t="s">
        <v>786</v>
      </c>
      <c r="D752" t="s">
        <v>19</v>
      </c>
      <c r="E752">
        <v>1671199.54</v>
      </c>
      <c r="F752">
        <v>66</v>
      </c>
      <c r="G752">
        <v>110299169.64</v>
      </c>
      <c r="H752" t="s">
        <v>1017</v>
      </c>
    </row>
    <row r="753" spans="1:8" x14ac:dyDescent="0.25">
      <c r="A753" t="s">
        <v>1364</v>
      </c>
      <c r="B753" t="s">
        <v>705</v>
      </c>
      <c r="C753" t="s">
        <v>706</v>
      </c>
      <c r="D753" t="s">
        <v>10</v>
      </c>
      <c r="E753">
        <v>1562418.03</v>
      </c>
      <c r="F753">
        <v>113</v>
      </c>
      <c r="G753">
        <v>176553237.38999999</v>
      </c>
      <c r="H753" t="s">
        <v>1017</v>
      </c>
    </row>
    <row r="754" spans="1:8" x14ac:dyDescent="0.25">
      <c r="A754" t="s">
        <v>1364</v>
      </c>
      <c r="B754" t="s">
        <v>835</v>
      </c>
      <c r="C754" t="s">
        <v>836</v>
      </c>
      <c r="D754" t="s">
        <v>19</v>
      </c>
      <c r="E754">
        <v>484494.49</v>
      </c>
      <c r="F754">
        <v>2</v>
      </c>
      <c r="G754">
        <v>968988.98</v>
      </c>
      <c r="H754" t="s">
        <v>1017</v>
      </c>
    </row>
    <row r="755" spans="1:8" x14ac:dyDescent="0.25">
      <c r="A755" t="s">
        <v>1365</v>
      </c>
      <c r="B755" t="s">
        <v>593</v>
      </c>
      <c r="C755" t="s">
        <v>594</v>
      </c>
      <c r="D755" t="s">
        <v>19</v>
      </c>
      <c r="E755">
        <v>572829.94999999995</v>
      </c>
      <c r="F755">
        <v>80</v>
      </c>
      <c r="G755">
        <v>45826396</v>
      </c>
      <c r="H755" t="s">
        <v>1017</v>
      </c>
    </row>
    <row r="756" spans="1:8" x14ac:dyDescent="0.25">
      <c r="A756" t="s">
        <v>1365</v>
      </c>
      <c r="B756" t="s">
        <v>565</v>
      </c>
      <c r="C756" t="s">
        <v>566</v>
      </c>
      <c r="D756" t="s">
        <v>26</v>
      </c>
      <c r="E756">
        <v>880940.29</v>
      </c>
      <c r="F756">
        <v>45</v>
      </c>
      <c r="G756">
        <v>39642313.049999997</v>
      </c>
      <c r="H756" t="s">
        <v>1017</v>
      </c>
    </row>
    <row r="757" spans="1:8" x14ac:dyDescent="0.25">
      <c r="A757" t="s">
        <v>1366</v>
      </c>
      <c r="B757" t="s">
        <v>517</v>
      </c>
      <c r="C757" t="s">
        <v>518</v>
      </c>
      <c r="D757" t="s">
        <v>26</v>
      </c>
      <c r="E757">
        <v>2424322.61</v>
      </c>
      <c r="F757">
        <v>97</v>
      </c>
      <c r="G757">
        <v>235159293.16999999</v>
      </c>
      <c r="H757" t="s">
        <v>1017</v>
      </c>
    </row>
    <row r="758" spans="1:8" x14ac:dyDescent="0.25">
      <c r="A758" t="s">
        <v>1367</v>
      </c>
      <c r="B758" t="s">
        <v>755</v>
      </c>
      <c r="C758" t="s">
        <v>756</v>
      </c>
      <c r="D758" t="s">
        <v>14</v>
      </c>
      <c r="E758">
        <v>325290.03999999998</v>
      </c>
      <c r="F758">
        <v>96</v>
      </c>
      <c r="G758">
        <v>31227843.84</v>
      </c>
      <c r="H758" t="s">
        <v>1017</v>
      </c>
    </row>
    <row r="759" spans="1:8" x14ac:dyDescent="0.25">
      <c r="A759" t="s">
        <v>1367</v>
      </c>
      <c r="B759" t="s">
        <v>861</v>
      </c>
      <c r="C759" t="s">
        <v>862</v>
      </c>
      <c r="D759" t="s">
        <v>14</v>
      </c>
      <c r="E759">
        <v>242535.39</v>
      </c>
      <c r="F759">
        <v>104</v>
      </c>
      <c r="G759">
        <v>25223680.559999999</v>
      </c>
      <c r="H759" t="s">
        <v>1017</v>
      </c>
    </row>
    <row r="760" spans="1:8" x14ac:dyDescent="0.25">
      <c r="A760" t="s">
        <v>1367</v>
      </c>
      <c r="B760" t="s">
        <v>665</v>
      </c>
      <c r="C760" t="s">
        <v>666</v>
      </c>
      <c r="D760" t="s">
        <v>10</v>
      </c>
      <c r="E760">
        <v>482810.58</v>
      </c>
      <c r="F760">
        <v>111</v>
      </c>
      <c r="G760">
        <v>53591974.380000003</v>
      </c>
      <c r="H760" t="s">
        <v>1017</v>
      </c>
    </row>
    <row r="761" spans="1:8" x14ac:dyDescent="0.25">
      <c r="A761" t="s">
        <v>1368</v>
      </c>
      <c r="B761" t="s">
        <v>405</v>
      </c>
      <c r="C761" t="s">
        <v>406</v>
      </c>
      <c r="D761" t="s">
        <v>19</v>
      </c>
      <c r="E761">
        <v>1658976.96</v>
      </c>
      <c r="F761">
        <v>41</v>
      </c>
      <c r="G761">
        <v>68018055.359999999</v>
      </c>
      <c r="H761" t="s">
        <v>1017</v>
      </c>
    </row>
    <row r="762" spans="1:8" x14ac:dyDescent="0.25">
      <c r="A762" t="s">
        <v>1369</v>
      </c>
      <c r="B762" t="s">
        <v>71</v>
      </c>
      <c r="C762" t="s">
        <v>72</v>
      </c>
      <c r="D762" t="s">
        <v>10</v>
      </c>
      <c r="E762">
        <v>218792.99</v>
      </c>
      <c r="F762">
        <v>34</v>
      </c>
      <c r="G762">
        <v>7438961.6600000001</v>
      </c>
      <c r="H762" t="s">
        <v>1017</v>
      </c>
    </row>
    <row r="763" spans="1:8" x14ac:dyDescent="0.25">
      <c r="A763" t="s">
        <v>1370</v>
      </c>
      <c r="B763" t="s">
        <v>231</v>
      </c>
      <c r="C763" t="s">
        <v>232</v>
      </c>
      <c r="D763" t="s">
        <v>10</v>
      </c>
      <c r="E763">
        <v>313448.89</v>
      </c>
      <c r="F763">
        <v>103</v>
      </c>
      <c r="G763">
        <v>32285235.670000002</v>
      </c>
      <c r="H763" t="s">
        <v>1017</v>
      </c>
    </row>
    <row r="764" spans="1:8" x14ac:dyDescent="0.25">
      <c r="A764" t="s">
        <v>1370</v>
      </c>
      <c r="B764" t="s">
        <v>61</v>
      </c>
      <c r="C764" t="s">
        <v>62</v>
      </c>
      <c r="D764" t="s">
        <v>10</v>
      </c>
      <c r="E764">
        <v>435635.15</v>
      </c>
      <c r="F764">
        <v>63</v>
      </c>
      <c r="G764">
        <v>27445014.449999999</v>
      </c>
      <c r="H764" t="s">
        <v>1017</v>
      </c>
    </row>
    <row r="765" spans="1:8" x14ac:dyDescent="0.25">
      <c r="A765" t="s">
        <v>1370</v>
      </c>
      <c r="B765" t="s">
        <v>1011</v>
      </c>
      <c r="C765" t="s">
        <v>1012</v>
      </c>
      <c r="D765" t="s">
        <v>26</v>
      </c>
      <c r="E765">
        <v>1798205.68</v>
      </c>
      <c r="F765">
        <v>60</v>
      </c>
      <c r="G765">
        <v>107892340.8</v>
      </c>
      <c r="H765" t="s">
        <v>1017</v>
      </c>
    </row>
    <row r="766" spans="1:8" x14ac:dyDescent="0.25">
      <c r="A766" t="s">
        <v>1371</v>
      </c>
      <c r="B766" t="s">
        <v>403</v>
      </c>
      <c r="C766" t="s">
        <v>404</v>
      </c>
      <c r="D766" t="s">
        <v>19</v>
      </c>
      <c r="E766">
        <v>1011635</v>
      </c>
      <c r="F766">
        <v>118</v>
      </c>
      <c r="G766">
        <v>119372930</v>
      </c>
      <c r="H766" t="s">
        <v>1017</v>
      </c>
    </row>
    <row r="767" spans="1:8" x14ac:dyDescent="0.25">
      <c r="A767" t="s">
        <v>1371</v>
      </c>
      <c r="B767" t="s">
        <v>41</v>
      </c>
      <c r="C767" t="s">
        <v>42</v>
      </c>
      <c r="D767" t="s">
        <v>26</v>
      </c>
      <c r="E767">
        <v>3051931.71</v>
      </c>
      <c r="F767">
        <v>68</v>
      </c>
      <c r="G767">
        <v>207531356.28</v>
      </c>
      <c r="H767" t="s">
        <v>1017</v>
      </c>
    </row>
    <row r="768" spans="1:8" x14ac:dyDescent="0.25">
      <c r="A768" t="s">
        <v>1372</v>
      </c>
      <c r="B768" t="s">
        <v>127</v>
      </c>
      <c r="C768" t="s">
        <v>128</v>
      </c>
      <c r="D768" t="s">
        <v>14</v>
      </c>
      <c r="E768">
        <v>1034382.93</v>
      </c>
      <c r="F768">
        <v>59</v>
      </c>
      <c r="G768">
        <v>61028592.869999997</v>
      </c>
      <c r="H768" t="s">
        <v>1017</v>
      </c>
    </row>
    <row r="769" spans="1:8" x14ac:dyDescent="0.25">
      <c r="A769" t="s">
        <v>1372</v>
      </c>
      <c r="B769" t="s">
        <v>275</v>
      </c>
      <c r="C769" t="s">
        <v>276</v>
      </c>
      <c r="D769" t="s">
        <v>10</v>
      </c>
      <c r="E769">
        <v>386441.56</v>
      </c>
      <c r="F769">
        <v>46</v>
      </c>
      <c r="G769">
        <v>17776311.760000002</v>
      </c>
      <c r="H769" t="s">
        <v>1017</v>
      </c>
    </row>
    <row r="770" spans="1:8" x14ac:dyDescent="0.25">
      <c r="A770" t="s">
        <v>1372</v>
      </c>
      <c r="B770" t="s">
        <v>475</v>
      </c>
      <c r="C770" t="s">
        <v>476</v>
      </c>
      <c r="D770" t="s">
        <v>10</v>
      </c>
      <c r="E770">
        <v>1486709.44</v>
      </c>
      <c r="F770">
        <v>33</v>
      </c>
      <c r="G770">
        <v>49061411.520000003</v>
      </c>
      <c r="H770" t="s">
        <v>1017</v>
      </c>
    </row>
    <row r="771" spans="1:8" x14ac:dyDescent="0.25">
      <c r="A771" t="s">
        <v>1373</v>
      </c>
      <c r="B771" t="s">
        <v>637</v>
      </c>
      <c r="C771" t="s">
        <v>638</v>
      </c>
      <c r="D771" t="s">
        <v>26</v>
      </c>
      <c r="E771">
        <v>2864998.57</v>
      </c>
      <c r="F771">
        <v>54</v>
      </c>
      <c r="G771">
        <v>154709922.78</v>
      </c>
      <c r="H771" t="s">
        <v>1017</v>
      </c>
    </row>
    <row r="772" spans="1:8" x14ac:dyDescent="0.25">
      <c r="A772" t="s">
        <v>1374</v>
      </c>
      <c r="B772" t="s">
        <v>141</v>
      </c>
      <c r="C772" t="s">
        <v>142</v>
      </c>
      <c r="D772" t="s">
        <v>14</v>
      </c>
      <c r="E772">
        <v>573297.31999999995</v>
      </c>
      <c r="F772">
        <v>10</v>
      </c>
      <c r="G772">
        <v>5732973.2000000002</v>
      </c>
      <c r="H772" t="s">
        <v>1017</v>
      </c>
    </row>
    <row r="773" spans="1:8" x14ac:dyDescent="0.25">
      <c r="A773" t="s">
        <v>1374</v>
      </c>
      <c r="B773" t="s">
        <v>247</v>
      </c>
      <c r="C773" t="s">
        <v>248</v>
      </c>
      <c r="D773" t="s">
        <v>14</v>
      </c>
      <c r="E773">
        <v>432577.6</v>
      </c>
      <c r="F773">
        <v>3</v>
      </c>
      <c r="G773">
        <v>1297732.8</v>
      </c>
      <c r="H773" t="s">
        <v>1017</v>
      </c>
    </row>
    <row r="774" spans="1:8" x14ac:dyDescent="0.25">
      <c r="A774" t="s">
        <v>1375</v>
      </c>
      <c r="B774" t="s">
        <v>561</v>
      </c>
      <c r="C774" t="s">
        <v>562</v>
      </c>
      <c r="D774" t="s">
        <v>19</v>
      </c>
      <c r="E774">
        <v>1464192.6</v>
      </c>
      <c r="F774">
        <v>93</v>
      </c>
      <c r="G774">
        <v>136169911.80000001</v>
      </c>
      <c r="H774" t="s">
        <v>1017</v>
      </c>
    </row>
    <row r="775" spans="1:8" x14ac:dyDescent="0.25">
      <c r="A775" t="s">
        <v>1375</v>
      </c>
      <c r="B775" t="s">
        <v>763</v>
      </c>
      <c r="C775" t="s">
        <v>764</v>
      </c>
      <c r="D775" t="s">
        <v>19</v>
      </c>
      <c r="E775">
        <v>266994.07</v>
      </c>
      <c r="F775">
        <v>63</v>
      </c>
      <c r="G775">
        <v>16820626.41</v>
      </c>
      <c r="H775" t="s">
        <v>1017</v>
      </c>
    </row>
    <row r="776" spans="1:8" x14ac:dyDescent="0.25">
      <c r="A776" t="s">
        <v>1376</v>
      </c>
      <c r="B776" t="s">
        <v>24</v>
      </c>
      <c r="C776" t="s">
        <v>25</v>
      </c>
      <c r="D776" t="s">
        <v>26</v>
      </c>
      <c r="E776">
        <v>2287140.2799999998</v>
      </c>
      <c r="F776">
        <v>83</v>
      </c>
      <c r="G776">
        <v>189832643.24000001</v>
      </c>
      <c r="H776" t="s">
        <v>1017</v>
      </c>
    </row>
    <row r="777" spans="1:8" x14ac:dyDescent="0.25">
      <c r="A777" t="s">
        <v>1376</v>
      </c>
      <c r="B777" t="s">
        <v>353</v>
      </c>
      <c r="C777" t="s">
        <v>354</v>
      </c>
      <c r="D777" t="s">
        <v>14</v>
      </c>
      <c r="E777">
        <v>774764.76</v>
      </c>
      <c r="F777">
        <v>69</v>
      </c>
      <c r="G777">
        <v>53458768.439999998</v>
      </c>
      <c r="H777" t="s">
        <v>1017</v>
      </c>
    </row>
    <row r="778" spans="1:8" x14ac:dyDescent="0.25">
      <c r="A778" t="s">
        <v>1376</v>
      </c>
      <c r="B778" t="s">
        <v>819</v>
      </c>
      <c r="C778" t="s">
        <v>820</v>
      </c>
      <c r="D778" t="s">
        <v>10</v>
      </c>
      <c r="E778">
        <v>1334266.97</v>
      </c>
      <c r="F778">
        <v>110</v>
      </c>
      <c r="G778">
        <v>146769366.69999999</v>
      </c>
      <c r="H778" t="s">
        <v>1017</v>
      </c>
    </row>
    <row r="779" spans="1:8" x14ac:dyDescent="0.25">
      <c r="A779" t="s">
        <v>1376</v>
      </c>
      <c r="B779" t="s">
        <v>243</v>
      </c>
      <c r="C779" t="s">
        <v>244</v>
      </c>
      <c r="D779" t="s">
        <v>14</v>
      </c>
      <c r="E779">
        <v>379233.32</v>
      </c>
      <c r="F779">
        <v>74</v>
      </c>
      <c r="G779">
        <v>28063265.68</v>
      </c>
      <c r="H779" t="s">
        <v>1017</v>
      </c>
    </row>
    <row r="780" spans="1:8" x14ac:dyDescent="0.25">
      <c r="A780" t="s">
        <v>1377</v>
      </c>
      <c r="B780" t="s">
        <v>461</v>
      </c>
      <c r="C780" t="s">
        <v>462</v>
      </c>
      <c r="D780" t="s">
        <v>14</v>
      </c>
      <c r="E780">
        <v>715961.16</v>
      </c>
      <c r="F780">
        <v>76</v>
      </c>
      <c r="G780">
        <v>54413048.159999996</v>
      </c>
      <c r="H780" t="s">
        <v>1017</v>
      </c>
    </row>
    <row r="781" spans="1:8" x14ac:dyDescent="0.25">
      <c r="A781" t="s">
        <v>1377</v>
      </c>
      <c r="B781" t="s">
        <v>249</v>
      </c>
      <c r="C781" t="s">
        <v>250</v>
      </c>
      <c r="D781" t="s">
        <v>14</v>
      </c>
      <c r="E781">
        <v>599723.09</v>
      </c>
      <c r="F781">
        <v>95</v>
      </c>
      <c r="G781">
        <v>56973693.549999997</v>
      </c>
      <c r="H781" t="s">
        <v>1017</v>
      </c>
    </row>
    <row r="782" spans="1:8" x14ac:dyDescent="0.25">
      <c r="A782" t="s">
        <v>1378</v>
      </c>
      <c r="B782" t="s">
        <v>469</v>
      </c>
      <c r="C782" t="s">
        <v>470</v>
      </c>
      <c r="D782" t="s">
        <v>14</v>
      </c>
      <c r="E782">
        <v>724314.98</v>
      </c>
      <c r="F782">
        <v>34</v>
      </c>
      <c r="G782">
        <v>24626709.32</v>
      </c>
      <c r="H782" t="s">
        <v>1017</v>
      </c>
    </row>
    <row r="783" spans="1:8" x14ac:dyDescent="0.25">
      <c r="A783" t="s">
        <v>1378</v>
      </c>
      <c r="B783" t="s">
        <v>117</v>
      </c>
      <c r="C783" t="s">
        <v>118</v>
      </c>
      <c r="D783" t="s">
        <v>10</v>
      </c>
      <c r="E783">
        <v>1256175.22</v>
      </c>
      <c r="F783">
        <v>25</v>
      </c>
      <c r="G783">
        <v>31404380.5</v>
      </c>
      <c r="H783" t="s">
        <v>1017</v>
      </c>
    </row>
    <row r="784" spans="1:8" x14ac:dyDescent="0.25">
      <c r="A784" t="s">
        <v>1379</v>
      </c>
      <c r="B784" t="s">
        <v>851</v>
      </c>
      <c r="C784" t="s">
        <v>852</v>
      </c>
      <c r="D784" t="s">
        <v>10</v>
      </c>
      <c r="E784">
        <v>747162.84</v>
      </c>
      <c r="F784">
        <v>7</v>
      </c>
      <c r="G784">
        <v>5230139.88</v>
      </c>
      <c r="H784" t="s">
        <v>1017</v>
      </c>
    </row>
    <row r="785" spans="1:8" x14ac:dyDescent="0.25">
      <c r="A785" t="s">
        <v>1379</v>
      </c>
      <c r="B785" t="s">
        <v>63</v>
      </c>
      <c r="C785" t="s">
        <v>64</v>
      </c>
      <c r="D785" t="s">
        <v>19</v>
      </c>
      <c r="E785">
        <v>1364455.08</v>
      </c>
      <c r="F785">
        <v>7</v>
      </c>
      <c r="G785">
        <v>9551185.5600000005</v>
      </c>
      <c r="H785" t="s">
        <v>1017</v>
      </c>
    </row>
    <row r="786" spans="1:8" x14ac:dyDescent="0.25">
      <c r="A786" t="s">
        <v>1380</v>
      </c>
      <c r="B786" t="s">
        <v>861</v>
      </c>
      <c r="C786" t="s">
        <v>862</v>
      </c>
      <c r="D786" t="s">
        <v>14</v>
      </c>
      <c r="E786">
        <v>236037.64</v>
      </c>
      <c r="F786">
        <v>6</v>
      </c>
      <c r="G786">
        <v>1416225.84</v>
      </c>
      <c r="H786" t="s">
        <v>1017</v>
      </c>
    </row>
    <row r="787" spans="1:8" x14ac:dyDescent="0.25">
      <c r="A787" t="s">
        <v>1380</v>
      </c>
      <c r="B787" t="s">
        <v>869</v>
      </c>
      <c r="C787" t="s">
        <v>870</v>
      </c>
      <c r="D787" t="s">
        <v>19</v>
      </c>
      <c r="E787">
        <v>1066462.46</v>
      </c>
      <c r="F787">
        <v>38</v>
      </c>
      <c r="G787">
        <v>40525573.479999997</v>
      </c>
      <c r="H787" t="s">
        <v>1017</v>
      </c>
    </row>
    <row r="788" spans="1:8" x14ac:dyDescent="0.25">
      <c r="A788" t="s">
        <v>1381</v>
      </c>
      <c r="B788" t="s">
        <v>27</v>
      </c>
      <c r="C788" t="s">
        <v>28</v>
      </c>
      <c r="D788" t="s">
        <v>14</v>
      </c>
      <c r="E788">
        <v>642633.21</v>
      </c>
      <c r="F788">
        <v>83</v>
      </c>
      <c r="G788">
        <v>53338556.43</v>
      </c>
      <c r="H788" t="s">
        <v>1017</v>
      </c>
    </row>
    <row r="789" spans="1:8" x14ac:dyDescent="0.25">
      <c r="A789" t="s">
        <v>1381</v>
      </c>
      <c r="B789" t="s">
        <v>747</v>
      </c>
      <c r="C789" t="s">
        <v>748</v>
      </c>
      <c r="D789" t="s">
        <v>19</v>
      </c>
      <c r="E789">
        <v>499222.37</v>
      </c>
      <c r="F789">
        <v>41</v>
      </c>
      <c r="G789">
        <v>20468117.170000002</v>
      </c>
      <c r="H789" t="s">
        <v>1017</v>
      </c>
    </row>
    <row r="790" spans="1:8" x14ac:dyDescent="0.25">
      <c r="A790" t="s">
        <v>1382</v>
      </c>
      <c r="B790" t="s">
        <v>389</v>
      </c>
      <c r="C790" t="s">
        <v>390</v>
      </c>
      <c r="D790" t="s">
        <v>10</v>
      </c>
      <c r="E790">
        <v>120113.25</v>
      </c>
      <c r="F790">
        <v>85</v>
      </c>
      <c r="G790">
        <v>10209626.25</v>
      </c>
      <c r="H790" t="s">
        <v>1017</v>
      </c>
    </row>
    <row r="791" spans="1:8" x14ac:dyDescent="0.25">
      <c r="A791" t="s">
        <v>1382</v>
      </c>
      <c r="B791" t="s">
        <v>195</v>
      </c>
      <c r="C791" t="s">
        <v>196</v>
      </c>
      <c r="D791" t="s">
        <v>14</v>
      </c>
      <c r="E791">
        <v>309862.28000000003</v>
      </c>
      <c r="F791">
        <v>86</v>
      </c>
      <c r="G791">
        <v>26648156.079999998</v>
      </c>
      <c r="H791" t="s">
        <v>1017</v>
      </c>
    </row>
    <row r="792" spans="1:8" x14ac:dyDescent="0.25">
      <c r="A792" t="s">
        <v>1382</v>
      </c>
      <c r="B792" t="s">
        <v>661</v>
      </c>
      <c r="C792" t="s">
        <v>662</v>
      </c>
      <c r="D792" t="s">
        <v>26</v>
      </c>
      <c r="E792">
        <v>3158451.69</v>
      </c>
      <c r="F792">
        <v>29</v>
      </c>
      <c r="G792">
        <v>91595099.010000005</v>
      </c>
      <c r="H792" t="s">
        <v>1017</v>
      </c>
    </row>
    <row r="793" spans="1:8" x14ac:dyDescent="0.25">
      <c r="A793" t="s">
        <v>1382</v>
      </c>
      <c r="B793" t="s">
        <v>983</v>
      </c>
      <c r="C793" t="s">
        <v>984</v>
      </c>
      <c r="D793" t="s">
        <v>10</v>
      </c>
      <c r="E793">
        <v>963271.73</v>
      </c>
      <c r="F793">
        <v>82</v>
      </c>
      <c r="G793">
        <v>78988281.859999999</v>
      </c>
      <c r="H793" t="s">
        <v>1017</v>
      </c>
    </row>
    <row r="794" spans="1:8" x14ac:dyDescent="0.25">
      <c r="A794" t="s">
        <v>1383</v>
      </c>
      <c r="B794" t="s">
        <v>443</v>
      </c>
      <c r="C794" t="s">
        <v>444</v>
      </c>
      <c r="D794" t="s">
        <v>10</v>
      </c>
      <c r="E794">
        <v>1482423.99</v>
      </c>
      <c r="F794">
        <v>38</v>
      </c>
      <c r="G794">
        <v>56332111.619999997</v>
      </c>
      <c r="H794" t="s">
        <v>1017</v>
      </c>
    </row>
    <row r="795" spans="1:8" x14ac:dyDescent="0.25">
      <c r="A795" t="s">
        <v>1384</v>
      </c>
      <c r="B795" t="s">
        <v>833</v>
      </c>
      <c r="C795" t="s">
        <v>834</v>
      </c>
      <c r="D795" t="s">
        <v>19</v>
      </c>
      <c r="E795">
        <v>530968.54</v>
      </c>
      <c r="F795">
        <v>32</v>
      </c>
      <c r="G795">
        <v>16990993.280000001</v>
      </c>
      <c r="H795" t="s">
        <v>1017</v>
      </c>
    </row>
    <row r="796" spans="1:8" x14ac:dyDescent="0.25">
      <c r="A796" t="s">
        <v>1384</v>
      </c>
      <c r="B796" t="s">
        <v>555</v>
      </c>
      <c r="C796" t="s">
        <v>556</v>
      </c>
      <c r="D796" t="s">
        <v>10</v>
      </c>
      <c r="E796">
        <v>328522.23</v>
      </c>
      <c r="F796">
        <v>104</v>
      </c>
      <c r="G796">
        <v>34166311.920000002</v>
      </c>
      <c r="H796" t="s">
        <v>1017</v>
      </c>
    </row>
    <row r="797" spans="1:8" x14ac:dyDescent="0.25">
      <c r="A797" t="s">
        <v>1385</v>
      </c>
      <c r="B797" t="s">
        <v>905</v>
      </c>
      <c r="C797" t="s">
        <v>906</v>
      </c>
      <c r="D797" t="s">
        <v>19</v>
      </c>
      <c r="E797">
        <v>208680.22</v>
      </c>
      <c r="F797">
        <v>22</v>
      </c>
      <c r="G797">
        <v>4590964.84</v>
      </c>
      <c r="H797" t="s">
        <v>1017</v>
      </c>
    </row>
    <row r="798" spans="1:8" x14ac:dyDescent="0.25">
      <c r="A798" t="s">
        <v>1386</v>
      </c>
      <c r="B798" t="s">
        <v>407</v>
      </c>
      <c r="C798" t="s">
        <v>408</v>
      </c>
      <c r="D798" t="s">
        <v>19</v>
      </c>
      <c r="E798">
        <v>1062800.3799999999</v>
      </c>
      <c r="F798">
        <v>22</v>
      </c>
      <c r="G798">
        <v>23381608.359999999</v>
      </c>
      <c r="H798" t="s">
        <v>1017</v>
      </c>
    </row>
    <row r="799" spans="1:8" x14ac:dyDescent="0.25">
      <c r="A799" t="s">
        <v>1387</v>
      </c>
      <c r="B799" t="s">
        <v>985</v>
      </c>
      <c r="C799" t="s">
        <v>986</v>
      </c>
      <c r="D799" t="s">
        <v>26</v>
      </c>
      <c r="E799">
        <v>774392.89</v>
      </c>
      <c r="F799">
        <v>118</v>
      </c>
      <c r="G799">
        <v>91378361.019999996</v>
      </c>
      <c r="H799" t="s">
        <v>1017</v>
      </c>
    </row>
    <row r="800" spans="1:8" x14ac:dyDescent="0.25">
      <c r="A800" t="s">
        <v>1387</v>
      </c>
      <c r="B800" t="s">
        <v>365</v>
      </c>
      <c r="C800" t="s">
        <v>366</v>
      </c>
      <c r="D800" t="s">
        <v>10</v>
      </c>
      <c r="E800">
        <v>93457.01</v>
      </c>
      <c r="F800">
        <v>84</v>
      </c>
      <c r="G800">
        <v>7850388.8399999999</v>
      </c>
      <c r="H800" t="s">
        <v>1017</v>
      </c>
    </row>
    <row r="801" spans="1:8" x14ac:dyDescent="0.25">
      <c r="A801" t="s">
        <v>1387</v>
      </c>
      <c r="B801" t="s">
        <v>693</v>
      </c>
      <c r="C801" t="s">
        <v>694</v>
      </c>
      <c r="D801" t="s">
        <v>14</v>
      </c>
      <c r="E801">
        <v>182860.13</v>
      </c>
      <c r="F801">
        <v>51</v>
      </c>
      <c r="G801">
        <v>9325866.6300000008</v>
      </c>
      <c r="H801" t="s">
        <v>1017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01"/>
  <sheetViews>
    <sheetView workbookViewId="0">
      <selection activeCell="G13" sqref="G13"/>
    </sheetView>
  </sheetViews>
  <sheetFormatPr baseColWidth="10" defaultColWidth="9.140625" defaultRowHeight="15" x14ac:dyDescent="0.25"/>
  <cols>
    <col min="1" max="1" width="12" customWidth="1"/>
    <col min="2" max="2" width="12.28515625" customWidth="1"/>
    <col min="3" max="3" width="28" customWidth="1"/>
    <col min="4" max="4" width="23" customWidth="1"/>
    <col min="5" max="5" width="15" customWidth="1"/>
    <col min="6" max="6" width="12" customWidth="1"/>
    <col min="7" max="7" width="14" customWidth="1"/>
    <col min="8" max="8" width="12" customWidth="1"/>
  </cols>
  <sheetData>
    <row r="1" spans="1:8" x14ac:dyDescent="0.25">
      <c r="A1" s="1" t="s">
        <v>1013</v>
      </c>
      <c r="B1" s="1" t="s">
        <v>0</v>
      </c>
      <c r="C1" s="1" t="s">
        <v>1</v>
      </c>
      <c r="D1" s="1" t="s">
        <v>2</v>
      </c>
      <c r="E1" s="1" t="s">
        <v>6</v>
      </c>
      <c r="F1" s="1" t="s">
        <v>1014</v>
      </c>
      <c r="G1" s="1" t="s">
        <v>7</v>
      </c>
      <c r="H1" s="1" t="s">
        <v>1015</v>
      </c>
    </row>
    <row r="2" spans="1:8" x14ac:dyDescent="0.25">
      <c r="A2" t="s">
        <v>1016</v>
      </c>
      <c r="B2" t="s">
        <v>735</v>
      </c>
      <c r="C2" t="s">
        <v>736</v>
      </c>
      <c r="D2" t="s">
        <v>19</v>
      </c>
      <c r="E2">
        <v>1456997.89</v>
      </c>
      <c r="F2">
        <v>37</v>
      </c>
      <c r="G2">
        <v>53908921.93</v>
      </c>
      <c r="H2" t="s">
        <v>1388</v>
      </c>
    </row>
    <row r="3" spans="1:8" x14ac:dyDescent="0.25">
      <c r="A3" t="s">
        <v>1018</v>
      </c>
      <c r="B3" t="s">
        <v>529</v>
      </c>
      <c r="C3" t="s">
        <v>530</v>
      </c>
      <c r="D3" t="s">
        <v>14</v>
      </c>
      <c r="E3">
        <v>272779.92</v>
      </c>
      <c r="F3">
        <v>59</v>
      </c>
      <c r="G3">
        <v>16094015.279999999</v>
      </c>
      <c r="H3" t="s">
        <v>1388</v>
      </c>
    </row>
    <row r="4" spans="1:8" x14ac:dyDescent="0.25">
      <c r="A4" t="s">
        <v>1018</v>
      </c>
      <c r="B4" t="s">
        <v>519</v>
      </c>
      <c r="C4" t="s">
        <v>520</v>
      </c>
      <c r="D4" t="s">
        <v>10</v>
      </c>
      <c r="E4">
        <v>307551.03000000003</v>
      </c>
      <c r="F4">
        <v>1</v>
      </c>
      <c r="G4">
        <v>307551.03000000003</v>
      </c>
      <c r="H4" t="s">
        <v>1388</v>
      </c>
    </row>
    <row r="5" spans="1:8" x14ac:dyDescent="0.25">
      <c r="A5" t="s">
        <v>1018</v>
      </c>
      <c r="B5" t="s">
        <v>379</v>
      </c>
      <c r="C5" t="s">
        <v>380</v>
      </c>
      <c r="D5" t="s">
        <v>10</v>
      </c>
      <c r="E5">
        <v>328380.93</v>
      </c>
      <c r="F5">
        <v>17</v>
      </c>
      <c r="G5">
        <v>5582475.8099999996</v>
      </c>
      <c r="H5" t="s">
        <v>1388</v>
      </c>
    </row>
    <row r="6" spans="1:8" x14ac:dyDescent="0.25">
      <c r="A6" t="s">
        <v>1018</v>
      </c>
      <c r="B6" t="s">
        <v>83</v>
      </c>
      <c r="C6" t="s">
        <v>84</v>
      </c>
      <c r="D6" t="s">
        <v>19</v>
      </c>
      <c r="E6">
        <v>2081845.57</v>
      </c>
      <c r="F6">
        <v>23</v>
      </c>
      <c r="G6">
        <v>47882448.109999999</v>
      </c>
      <c r="H6" t="s">
        <v>1388</v>
      </c>
    </row>
    <row r="7" spans="1:8" x14ac:dyDescent="0.25">
      <c r="A7" t="s">
        <v>1021</v>
      </c>
      <c r="B7" t="s">
        <v>439</v>
      </c>
      <c r="C7" t="s">
        <v>440</v>
      </c>
      <c r="D7" t="s">
        <v>14</v>
      </c>
      <c r="E7">
        <v>1127443.73</v>
      </c>
      <c r="F7">
        <v>8</v>
      </c>
      <c r="G7">
        <v>9019549.8399999999</v>
      </c>
      <c r="H7" t="s">
        <v>1388</v>
      </c>
    </row>
    <row r="8" spans="1:8" x14ac:dyDescent="0.25">
      <c r="A8" t="s">
        <v>1021</v>
      </c>
      <c r="B8" t="s">
        <v>625</v>
      </c>
      <c r="C8" t="s">
        <v>626</v>
      </c>
      <c r="D8" t="s">
        <v>19</v>
      </c>
      <c r="E8">
        <v>1085054.1000000001</v>
      </c>
      <c r="F8">
        <v>78</v>
      </c>
      <c r="G8">
        <v>84634219.799999997</v>
      </c>
      <c r="H8" t="s">
        <v>1388</v>
      </c>
    </row>
    <row r="9" spans="1:8" x14ac:dyDescent="0.25">
      <c r="A9" t="s">
        <v>1022</v>
      </c>
      <c r="B9" t="s">
        <v>647</v>
      </c>
      <c r="C9" t="s">
        <v>648</v>
      </c>
      <c r="D9" t="s">
        <v>19</v>
      </c>
      <c r="E9">
        <v>1999205.74</v>
      </c>
      <c r="F9">
        <v>18</v>
      </c>
      <c r="G9">
        <v>35985703.32</v>
      </c>
      <c r="H9" t="s">
        <v>1388</v>
      </c>
    </row>
    <row r="10" spans="1:8" x14ac:dyDescent="0.25">
      <c r="A10" t="s">
        <v>1022</v>
      </c>
      <c r="B10" t="s">
        <v>55</v>
      </c>
      <c r="C10" t="s">
        <v>56</v>
      </c>
      <c r="D10" t="s">
        <v>14</v>
      </c>
      <c r="E10">
        <v>1174564.0900000001</v>
      </c>
      <c r="F10">
        <v>18</v>
      </c>
      <c r="G10">
        <v>21142153.620000001</v>
      </c>
      <c r="H10" t="s">
        <v>1388</v>
      </c>
    </row>
    <row r="11" spans="1:8" x14ac:dyDescent="0.25">
      <c r="A11" t="s">
        <v>1022</v>
      </c>
      <c r="B11" t="s">
        <v>533</v>
      </c>
      <c r="C11" t="s">
        <v>534</v>
      </c>
      <c r="D11" t="s">
        <v>26</v>
      </c>
      <c r="E11">
        <v>1549320.49</v>
      </c>
      <c r="F11">
        <v>51</v>
      </c>
      <c r="G11">
        <v>79015344.989999995</v>
      </c>
      <c r="H11" t="s">
        <v>1388</v>
      </c>
    </row>
    <row r="12" spans="1:8" x14ac:dyDescent="0.25">
      <c r="A12" t="s">
        <v>1023</v>
      </c>
      <c r="B12" t="s">
        <v>87</v>
      </c>
      <c r="C12" t="s">
        <v>88</v>
      </c>
      <c r="D12" t="s">
        <v>26</v>
      </c>
      <c r="E12">
        <v>4121929.11</v>
      </c>
      <c r="F12">
        <v>16</v>
      </c>
      <c r="G12">
        <v>65950865.759999998</v>
      </c>
      <c r="H12" t="s">
        <v>1388</v>
      </c>
    </row>
    <row r="13" spans="1:8" x14ac:dyDescent="0.25">
      <c r="A13" t="s">
        <v>1024</v>
      </c>
      <c r="B13" t="s">
        <v>921</v>
      </c>
      <c r="C13" t="s">
        <v>922</v>
      </c>
      <c r="D13" t="s">
        <v>19</v>
      </c>
      <c r="E13">
        <v>1247424.33</v>
      </c>
      <c r="F13">
        <v>76</v>
      </c>
      <c r="G13">
        <v>94804249.079999998</v>
      </c>
      <c r="H13" t="s">
        <v>1388</v>
      </c>
    </row>
    <row r="14" spans="1:8" x14ac:dyDescent="0.25">
      <c r="A14" t="s">
        <v>1024</v>
      </c>
      <c r="B14" t="s">
        <v>737</v>
      </c>
      <c r="C14" t="s">
        <v>738</v>
      </c>
      <c r="D14" t="s">
        <v>14</v>
      </c>
      <c r="E14">
        <v>1189034.32</v>
      </c>
      <c r="F14">
        <v>52</v>
      </c>
      <c r="G14">
        <v>61829784.640000001</v>
      </c>
      <c r="H14" t="s">
        <v>1388</v>
      </c>
    </row>
    <row r="15" spans="1:8" x14ac:dyDescent="0.25">
      <c r="A15" t="s">
        <v>1389</v>
      </c>
      <c r="B15" t="s">
        <v>487</v>
      </c>
      <c r="C15" t="s">
        <v>488</v>
      </c>
      <c r="D15" t="s">
        <v>14</v>
      </c>
      <c r="E15">
        <v>370114.38</v>
      </c>
      <c r="F15">
        <v>16</v>
      </c>
      <c r="G15">
        <v>5921830.0800000001</v>
      </c>
      <c r="H15" t="s">
        <v>1388</v>
      </c>
    </row>
    <row r="16" spans="1:8" x14ac:dyDescent="0.25">
      <c r="A16" t="s">
        <v>1389</v>
      </c>
      <c r="B16" t="s">
        <v>931</v>
      </c>
      <c r="C16" t="s">
        <v>932</v>
      </c>
      <c r="D16" t="s">
        <v>10</v>
      </c>
      <c r="E16">
        <v>694392.71</v>
      </c>
      <c r="F16">
        <v>34</v>
      </c>
      <c r="G16">
        <v>23609352.140000001</v>
      </c>
      <c r="H16" t="s">
        <v>1388</v>
      </c>
    </row>
    <row r="17" spans="1:8" x14ac:dyDescent="0.25">
      <c r="A17" t="s">
        <v>1389</v>
      </c>
      <c r="B17" t="s">
        <v>949</v>
      </c>
      <c r="C17" t="s">
        <v>950</v>
      </c>
      <c r="D17" t="s">
        <v>19</v>
      </c>
      <c r="E17">
        <v>1336792.6200000001</v>
      </c>
      <c r="F17">
        <v>32</v>
      </c>
      <c r="G17">
        <v>42777363.840000004</v>
      </c>
      <c r="H17" t="s">
        <v>1388</v>
      </c>
    </row>
    <row r="18" spans="1:8" x14ac:dyDescent="0.25">
      <c r="A18" t="s">
        <v>1389</v>
      </c>
      <c r="B18" t="s">
        <v>971</v>
      </c>
      <c r="C18" t="s">
        <v>972</v>
      </c>
      <c r="D18" t="s">
        <v>14</v>
      </c>
      <c r="E18">
        <v>782149.28</v>
      </c>
      <c r="F18">
        <v>5</v>
      </c>
      <c r="G18">
        <v>3910746.4</v>
      </c>
      <c r="H18" t="s">
        <v>1388</v>
      </c>
    </row>
    <row r="19" spans="1:8" x14ac:dyDescent="0.25">
      <c r="A19" t="s">
        <v>1026</v>
      </c>
      <c r="B19" t="s">
        <v>983</v>
      </c>
      <c r="C19" t="s">
        <v>984</v>
      </c>
      <c r="D19" t="s">
        <v>10</v>
      </c>
      <c r="E19">
        <v>1003631.37</v>
      </c>
      <c r="F19">
        <v>24</v>
      </c>
      <c r="G19">
        <v>24087152.879999999</v>
      </c>
      <c r="H19" t="s">
        <v>1388</v>
      </c>
    </row>
    <row r="20" spans="1:8" x14ac:dyDescent="0.25">
      <c r="A20" t="s">
        <v>1027</v>
      </c>
      <c r="B20" t="s">
        <v>79</v>
      </c>
      <c r="C20" t="s">
        <v>80</v>
      </c>
      <c r="D20" t="s">
        <v>14</v>
      </c>
      <c r="E20">
        <v>239696.32</v>
      </c>
      <c r="F20">
        <v>27</v>
      </c>
      <c r="G20">
        <v>6471800.6399999997</v>
      </c>
      <c r="H20" t="s">
        <v>1388</v>
      </c>
    </row>
    <row r="21" spans="1:8" x14ac:dyDescent="0.25">
      <c r="A21" t="s">
        <v>1027</v>
      </c>
      <c r="B21" t="s">
        <v>31</v>
      </c>
      <c r="C21" t="s">
        <v>32</v>
      </c>
      <c r="D21" t="s">
        <v>26</v>
      </c>
      <c r="E21">
        <v>3624855.27</v>
      </c>
      <c r="F21">
        <v>41</v>
      </c>
      <c r="G21">
        <v>148619066.06999999</v>
      </c>
      <c r="H21" t="s">
        <v>1388</v>
      </c>
    </row>
    <row r="22" spans="1:8" x14ac:dyDescent="0.25">
      <c r="A22" t="s">
        <v>1027</v>
      </c>
      <c r="B22" t="s">
        <v>971</v>
      </c>
      <c r="C22" t="s">
        <v>972</v>
      </c>
      <c r="D22" t="s">
        <v>14</v>
      </c>
      <c r="E22">
        <v>760485.46</v>
      </c>
      <c r="F22">
        <v>12</v>
      </c>
      <c r="G22">
        <v>9125825.5199999996</v>
      </c>
      <c r="H22" t="s">
        <v>1388</v>
      </c>
    </row>
    <row r="23" spans="1:8" x14ac:dyDescent="0.25">
      <c r="A23" t="s">
        <v>1027</v>
      </c>
      <c r="B23" t="s">
        <v>727</v>
      </c>
      <c r="C23" t="s">
        <v>728</v>
      </c>
      <c r="D23" t="s">
        <v>19</v>
      </c>
      <c r="E23">
        <v>499372.71</v>
      </c>
      <c r="F23">
        <v>68</v>
      </c>
      <c r="G23">
        <v>33957344.280000001</v>
      </c>
      <c r="H23" t="s">
        <v>1388</v>
      </c>
    </row>
    <row r="24" spans="1:8" x14ac:dyDescent="0.25">
      <c r="A24" t="s">
        <v>1028</v>
      </c>
      <c r="B24" t="s">
        <v>531</v>
      </c>
      <c r="C24" t="s">
        <v>532</v>
      </c>
      <c r="D24" t="s">
        <v>14</v>
      </c>
      <c r="E24">
        <v>512299.3</v>
      </c>
      <c r="F24">
        <v>43</v>
      </c>
      <c r="G24">
        <v>22028869.899999999</v>
      </c>
      <c r="H24" t="s">
        <v>1388</v>
      </c>
    </row>
    <row r="25" spans="1:8" x14ac:dyDescent="0.25">
      <c r="A25" t="s">
        <v>1028</v>
      </c>
      <c r="B25" t="s">
        <v>347</v>
      </c>
      <c r="C25" t="s">
        <v>348</v>
      </c>
      <c r="D25" t="s">
        <v>26</v>
      </c>
      <c r="E25">
        <v>3789050.03</v>
      </c>
      <c r="F25">
        <v>57</v>
      </c>
      <c r="G25">
        <v>215975851.71000001</v>
      </c>
      <c r="H25" t="s">
        <v>1388</v>
      </c>
    </row>
    <row r="26" spans="1:8" x14ac:dyDescent="0.25">
      <c r="A26" t="s">
        <v>1028</v>
      </c>
      <c r="B26" t="s">
        <v>655</v>
      </c>
      <c r="C26" t="s">
        <v>656</v>
      </c>
      <c r="D26" t="s">
        <v>19</v>
      </c>
      <c r="E26">
        <v>861539.71</v>
      </c>
      <c r="F26">
        <v>25</v>
      </c>
      <c r="G26">
        <v>21538492.75</v>
      </c>
      <c r="H26" t="s">
        <v>1388</v>
      </c>
    </row>
    <row r="27" spans="1:8" x14ac:dyDescent="0.25">
      <c r="A27" t="s">
        <v>1029</v>
      </c>
      <c r="B27" t="s">
        <v>99</v>
      </c>
      <c r="C27" t="s">
        <v>100</v>
      </c>
      <c r="D27" t="s">
        <v>14</v>
      </c>
      <c r="E27">
        <v>566386.46</v>
      </c>
      <c r="F27">
        <v>57</v>
      </c>
      <c r="G27">
        <v>32284028.219999999</v>
      </c>
      <c r="H27" t="s">
        <v>1388</v>
      </c>
    </row>
    <row r="28" spans="1:8" x14ac:dyDescent="0.25">
      <c r="A28" t="s">
        <v>1029</v>
      </c>
      <c r="B28" t="s">
        <v>571</v>
      </c>
      <c r="C28" t="s">
        <v>572</v>
      </c>
      <c r="D28" t="s">
        <v>26</v>
      </c>
      <c r="E28">
        <v>2065567.72</v>
      </c>
      <c r="F28">
        <v>23</v>
      </c>
      <c r="G28">
        <v>47508057.560000002</v>
      </c>
      <c r="H28" t="s">
        <v>1388</v>
      </c>
    </row>
    <row r="29" spans="1:8" x14ac:dyDescent="0.25">
      <c r="A29" t="s">
        <v>1029</v>
      </c>
      <c r="B29" t="s">
        <v>823</v>
      </c>
      <c r="C29" t="s">
        <v>824</v>
      </c>
      <c r="D29" t="s">
        <v>26</v>
      </c>
      <c r="E29">
        <v>1972877.93</v>
      </c>
      <c r="F29">
        <v>59</v>
      </c>
      <c r="G29">
        <v>116399797.87</v>
      </c>
      <c r="H29" t="s">
        <v>1388</v>
      </c>
    </row>
    <row r="30" spans="1:8" x14ac:dyDescent="0.25">
      <c r="A30" t="s">
        <v>1031</v>
      </c>
      <c r="B30" t="s">
        <v>979</v>
      </c>
      <c r="C30" t="s">
        <v>980</v>
      </c>
      <c r="D30" t="s">
        <v>14</v>
      </c>
      <c r="E30">
        <v>726565.22</v>
      </c>
      <c r="F30">
        <v>8</v>
      </c>
      <c r="G30">
        <v>5812521.7599999998</v>
      </c>
      <c r="H30" t="s">
        <v>1388</v>
      </c>
    </row>
    <row r="31" spans="1:8" x14ac:dyDescent="0.25">
      <c r="A31" t="s">
        <v>1033</v>
      </c>
      <c r="B31" t="s">
        <v>337</v>
      </c>
      <c r="C31" t="s">
        <v>338</v>
      </c>
      <c r="D31" t="s">
        <v>14</v>
      </c>
      <c r="E31">
        <v>668066.46</v>
      </c>
      <c r="F31">
        <v>29</v>
      </c>
      <c r="G31">
        <v>19373927.34</v>
      </c>
      <c r="H31" t="s">
        <v>1388</v>
      </c>
    </row>
    <row r="32" spans="1:8" x14ac:dyDescent="0.25">
      <c r="A32" t="s">
        <v>1034</v>
      </c>
      <c r="B32" t="s">
        <v>169</v>
      </c>
      <c r="C32" t="s">
        <v>170</v>
      </c>
      <c r="D32" t="s">
        <v>26</v>
      </c>
      <c r="E32">
        <v>1510594.81</v>
      </c>
      <c r="F32">
        <v>15</v>
      </c>
      <c r="G32">
        <v>22658922.149999999</v>
      </c>
      <c r="H32" t="s">
        <v>1388</v>
      </c>
    </row>
    <row r="33" spans="1:8" x14ac:dyDescent="0.25">
      <c r="A33" t="s">
        <v>1034</v>
      </c>
      <c r="B33" t="s">
        <v>517</v>
      </c>
      <c r="C33" t="s">
        <v>518</v>
      </c>
      <c r="D33" t="s">
        <v>26</v>
      </c>
      <c r="E33">
        <v>2534130.73</v>
      </c>
      <c r="F33">
        <v>51</v>
      </c>
      <c r="G33">
        <v>129240667.23</v>
      </c>
      <c r="H33" t="s">
        <v>1388</v>
      </c>
    </row>
    <row r="34" spans="1:8" x14ac:dyDescent="0.25">
      <c r="A34" t="s">
        <v>1035</v>
      </c>
      <c r="B34" t="s">
        <v>159</v>
      </c>
      <c r="C34" t="s">
        <v>160</v>
      </c>
      <c r="D34" t="s">
        <v>19</v>
      </c>
      <c r="E34">
        <v>1646846.04</v>
      </c>
      <c r="F34">
        <v>5</v>
      </c>
      <c r="G34">
        <v>8234230.2000000002</v>
      </c>
      <c r="H34" t="s">
        <v>1388</v>
      </c>
    </row>
    <row r="35" spans="1:8" x14ac:dyDescent="0.25">
      <c r="A35" t="s">
        <v>1035</v>
      </c>
      <c r="B35" t="s">
        <v>643</v>
      </c>
      <c r="C35" t="s">
        <v>644</v>
      </c>
      <c r="D35" t="s">
        <v>19</v>
      </c>
      <c r="E35">
        <v>1234168.48</v>
      </c>
      <c r="F35">
        <v>45</v>
      </c>
      <c r="G35">
        <v>55537581.600000001</v>
      </c>
      <c r="H35" t="s">
        <v>1388</v>
      </c>
    </row>
    <row r="36" spans="1:8" x14ac:dyDescent="0.25">
      <c r="A36" t="s">
        <v>1035</v>
      </c>
      <c r="B36" t="s">
        <v>613</v>
      </c>
      <c r="C36" t="s">
        <v>614</v>
      </c>
      <c r="D36" t="s">
        <v>10</v>
      </c>
      <c r="E36">
        <v>495935.09</v>
      </c>
      <c r="F36">
        <v>33</v>
      </c>
      <c r="G36">
        <v>16365857.970000001</v>
      </c>
      <c r="H36" t="s">
        <v>1388</v>
      </c>
    </row>
    <row r="37" spans="1:8" x14ac:dyDescent="0.25">
      <c r="A37" t="s">
        <v>1035</v>
      </c>
      <c r="B37" t="s">
        <v>681</v>
      </c>
      <c r="C37" t="s">
        <v>682</v>
      </c>
      <c r="D37" t="s">
        <v>26</v>
      </c>
      <c r="E37">
        <v>2726083.75</v>
      </c>
      <c r="F37">
        <v>17</v>
      </c>
      <c r="G37">
        <v>46343423.75</v>
      </c>
      <c r="H37" t="s">
        <v>1388</v>
      </c>
    </row>
    <row r="38" spans="1:8" x14ac:dyDescent="0.25">
      <c r="A38" t="s">
        <v>1036</v>
      </c>
      <c r="B38" t="s">
        <v>423</v>
      </c>
      <c r="C38" t="s">
        <v>424</v>
      </c>
      <c r="D38" t="s">
        <v>26</v>
      </c>
      <c r="E38">
        <v>3784878.03</v>
      </c>
      <c r="F38">
        <v>3</v>
      </c>
      <c r="G38">
        <v>11354634.09</v>
      </c>
      <c r="H38" t="s">
        <v>1388</v>
      </c>
    </row>
    <row r="39" spans="1:8" x14ac:dyDescent="0.25">
      <c r="A39" t="s">
        <v>1037</v>
      </c>
      <c r="B39" t="s">
        <v>435</v>
      </c>
      <c r="C39" t="s">
        <v>436</v>
      </c>
      <c r="D39" t="s">
        <v>10</v>
      </c>
      <c r="E39">
        <v>1099353.8</v>
      </c>
      <c r="F39">
        <v>3</v>
      </c>
      <c r="G39">
        <v>3298061.4</v>
      </c>
      <c r="H39" t="s">
        <v>1388</v>
      </c>
    </row>
    <row r="40" spans="1:8" x14ac:dyDescent="0.25">
      <c r="A40" t="s">
        <v>1037</v>
      </c>
      <c r="B40" t="s">
        <v>881</v>
      </c>
      <c r="C40" t="s">
        <v>882</v>
      </c>
      <c r="D40" t="s">
        <v>19</v>
      </c>
      <c r="E40">
        <v>967712.86</v>
      </c>
      <c r="F40">
        <v>4</v>
      </c>
      <c r="G40">
        <v>3870851.44</v>
      </c>
      <c r="H40" t="s">
        <v>1388</v>
      </c>
    </row>
    <row r="41" spans="1:8" x14ac:dyDescent="0.25">
      <c r="A41" t="s">
        <v>1038</v>
      </c>
      <c r="B41" t="s">
        <v>781</v>
      </c>
      <c r="C41" t="s">
        <v>782</v>
      </c>
      <c r="D41" t="s">
        <v>14</v>
      </c>
      <c r="E41">
        <v>1104508.08</v>
      </c>
      <c r="F41">
        <v>62</v>
      </c>
      <c r="G41">
        <v>68479500.959999993</v>
      </c>
      <c r="H41" t="s">
        <v>1388</v>
      </c>
    </row>
    <row r="42" spans="1:8" x14ac:dyDescent="0.25">
      <c r="A42" t="s">
        <v>1039</v>
      </c>
      <c r="B42" t="s">
        <v>139</v>
      </c>
      <c r="C42" t="s">
        <v>140</v>
      </c>
      <c r="D42" t="s">
        <v>26</v>
      </c>
      <c r="E42">
        <v>3176335.8</v>
      </c>
      <c r="F42">
        <v>72</v>
      </c>
      <c r="G42">
        <v>228696177.59999999</v>
      </c>
      <c r="H42" t="s">
        <v>1388</v>
      </c>
    </row>
    <row r="43" spans="1:8" x14ac:dyDescent="0.25">
      <c r="A43" t="s">
        <v>1039</v>
      </c>
      <c r="B43" t="s">
        <v>745</v>
      </c>
      <c r="C43" t="s">
        <v>746</v>
      </c>
      <c r="D43" t="s">
        <v>19</v>
      </c>
      <c r="E43">
        <v>1066973.0900000001</v>
      </c>
      <c r="F43">
        <v>51</v>
      </c>
      <c r="G43">
        <v>54415627.590000004</v>
      </c>
      <c r="H43" t="s">
        <v>1388</v>
      </c>
    </row>
    <row r="44" spans="1:8" x14ac:dyDescent="0.25">
      <c r="A44" t="s">
        <v>1390</v>
      </c>
      <c r="B44" t="s">
        <v>223</v>
      </c>
      <c r="C44" t="s">
        <v>224</v>
      </c>
      <c r="D44" t="s">
        <v>26</v>
      </c>
      <c r="E44">
        <v>2636697.13</v>
      </c>
      <c r="F44">
        <v>72</v>
      </c>
      <c r="G44">
        <v>189842193.36000001</v>
      </c>
      <c r="H44" t="s">
        <v>1388</v>
      </c>
    </row>
    <row r="45" spans="1:8" x14ac:dyDescent="0.25">
      <c r="A45" t="s">
        <v>1390</v>
      </c>
      <c r="B45" t="s">
        <v>117</v>
      </c>
      <c r="C45" t="s">
        <v>118</v>
      </c>
      <c r="D45" t="s">
        <v>10</v>
      </c>
      <c r="E45">
        <v>1353065.73</v>
      </c>
      <c r="F45">
        <v>52</v>
      </c>
      <c r="G45">
        <v>70359417.959999993</v>
      </c>
      <c r="H45" t="s">
        <v>1388</v>
      </c>
    </row>
    <row r="46" spans="1:8" x14ac:dyDescent="0.25">
      <c r="A46" t="s">
        <v>1390</v>
      </c>
      <c r="B46" t="s">
        <v>351</v>
      </c>
      <c r="C46" t="s">
        <v>352</v>
      </c>
      <c r="D46" t="s">
        <v>14</v>
      </c>
      <c r="E46">
        <v>420955.74</v>
      </c>
      <c r="F46">
        <v>63</v>
      </c>
      <c r="G46">
        <v>26520211.620000001</v>
      </c>
      <c r="H46" t="s">
        <v>1388</v>
      </c>
    </row>
    <row r="47" spans="1:8" x14ac:dyDescent="0.25">
      <c r="A47" t="s">
        <v>1390</v>
      </c>
      <c r="B47" t="s">
        <v>675</v>
      </c>
      <c r="C47" t="s">
        <v>676</v>
      </c>
      <c r="D47" t="s">
        <v>19</v>
      </c>
      <c r="E47">
        <v>451484.07</v>
      </c>
      <c r="F47">
        <v>48</v>
      </c>
      <c r="G47">
        <v>21671235.359999999</v>
      </c>
      <c r="H47" t="s">
        <v>1388</v>
      </c>
    </row>
    <row r="48" spans="1:8" x14ac:dyDescent="0.25">
      <c r="A48" t="s">
        <v>1390</v>
      </c>
      <c r="B48" t="s">
        <v>1003</v>
      </c>
      <c r="C48" t="s">
        <v>1004</v>
      </c>
      <c r="D48" t="s">
        <v>10</v>
      </c>
      <c r="E48">
        <v>421866.84</v>
      </c>
      <c r="F48">
        <v>9</v>
      </c>
      <c r="G48">
        <v>3796801.56</v>
      </c>
      <c r="H48" t="s">
        <v>1388</v>
      </c>
    </row>
    <row r="49" spans="1:8" x14ac:dyDescent="0.25">
      <c r="A49" t="s">
        <v>1041</v>
      </c>
      <c r="B49" t="s">
        <v>545</v>
      </c>
      <c r="C49" t="s">
        <v>546</v>
      </c>
      <c r="D49" t="s">
        <v>19</v>
      </c>
      <c r="E49">
        <v>142531.29</v>
      </c>
      <c r="F49">
        <v>15</v>
      </c>
      <c r="G49">
        <v>2137969.35</v>
      </c>
      <c r="H49" t="s">
        <v>1388</v>
      </c>
    </row>
    <row r="50" spans="1:8" x14ac:dyDescent="0.25">
      <c r="A50" t="s">
        <v>1041</v>
      </c>
      <c r="B50" t="s">
        <v>639</v>
      </c>
      <c r="C50" t="s">
        <v>640</v>
      </c>
      <c r="D50" t="s">
        <v>14</v>
      </c>
      <c r="E50">
        <v>253964.88</v>
      </c>
      <c r="F50">
        <v>77</v>
      </c>
      <c r="G50">
        <v>19555295.760000002</v>
      </c>
      <c r="H50" t="s">
        <v>1388</v>
      </c>
    </row>
    <row r="51" spans="1:8" x14ac:dyDescent="0.25">
      <c r="A51" t="s">
        <v>1041</v>
      </c>
      <c r="B51" t="s">
        <v>453</v>
      </c>
      <c r="C51" t="s">
        <v>454</v>
      </c>
      <c r="D51" t="s">
        <v>19</v>
      </c>
      <c r="E51">
        <v>1324649.8899999999</v>
      </c>
      <c r="F51">
        <v>59</v>
      </c>
      <c r="G51">
        <v>78154343.510000005</v>
      </c>
      <c r="H51" t="s">
        <v>1388</v>
      </c>
    </row>
    <row r="52" spans="1:8" x14ac:dyDescent="0.25">
      <c r="A52" t="s">
        <v>1042</v>
      </c>
      <c r="B52" t="s">
        <v>953</v>
      </c>
      <c r="C52" t="s">
        <v>954</v>
      </c>
      <c r="D52" t="s">
        <v>19</v>
      </c>
      <c r="E52">
        <v>1810097.64</v>
      </c>
      <c r="F52">
        <v>51</v>
      </c>
      <c r="G52">
        <v>92314979.640000001</v>
      </c>
      <c r="H52" t="s">
        <v>1388</v>
      </c>
    </row>
    <row r="53" spans="1:8" x14ac:dyDescent="0.25">
      <c r="A53" t="s">
        <v>1042</v>
      </c>
      <c r="B53" t="s">
        <v>921</v>
      </c>
      <c r="C53" t="s">
        <v>922</v>
      </c>
      <c r="D53" t="s">
        <v>19</v>
      </c>
      <c r="E53">
        <v>1318159.8899999999</v>
      </c>
      <c r="F53">
        <v>1</v>
      </c>
      <c r="G53">
        <v>1318159.8899999999</v>
      </c>
      <c r="H53" t="s">
        <v>1388</v>
      </c>
    </row>
    <row r="54" spans="1:8" x14ac:dyDescent="0.25">
      <c r="A54" t="s">
        <v>1042</v>
      </c>
      <c r="B54" t="s">
        <v>231</v>
      </c>
      <c r="C54" t="s">
        <v>232</v>
      </c>
      <c r="D54" t="s">
        <v>10</v>
      </c>
      <c r="E54">
        <v>299848.40000000002</v>
      </c>
      <c r="F54">
        <v>50</v>
      </c>
      <c r="G54">
        <v>14992420</v>
      </c>
      <c r="H54" t="s">
        <v>1388</v>
      </c>
    </row>
    <row r="55" spans="1:8" x14ac:dyDescent="0.25">
      <c r="A55" t="s">
        <v>1042</v>
      </c>
      <c r="B55" t="s">
        <v>425</v>
      </c>
      <c r="C55" t="s">
        <v>426</v>
      </c>
      <c r="D55" t="s">
        <v>14</v>
      </c>
      <c r="E55">
        <v>686263.52</v>
      </c>
      <c r="F55">
        <v>61</v>
      </c>
      <c r="G55">
        <v>41862074.719999999</v>
      </c>
      <c r="H55" t="s">
        <v>1388</v>
      </c>
    </row>
    <row r="56" spans="1:8" x14ac:dyDescent="0.25">
      <c r="A56" t="s">
        <v>1043</v>
      </c>
      <c r="B56" t="s">
        <v>329</v>
      </c>
      <c r="C56" t="s">
        <v>330</v>
      </c>
      <c r="D56" t="s">
        <v>26</v>
      </c>
      <c r="E56">
        <v>3775750.6</v>
      </c>
      <c r="F56">
        <v>77</v>
      </c>
      <c r="G56">
        <v>290732796.19999999</v>
      </c>
      <c r="H56" t="s">
        <v>1388</v>
      </c>
    </row>
    <row r="57" spans="1:8" x14ac:dyDescent="0.25">
      <c r="A57" t="s">
        <v>1043</v>
      </c>
      <c r="B57" t="s">
        <v>433</v>
      </c>
      <c r="C57" t="s">
        <v>434</v>
      </c>
      <c r="D57" t="s">
        <v>10</v>
      </c>
      <c r="E57">
        <v>1482510.43</v>
      </c>
      <c r="F57">
        <v>67</v>
      </c>
      <c r="G57">
        <v>99328198.810000002</v>
      </c>
      <c r="H57" t="s">
        <v>1388</v>
      </c>
    </row>
    <row r="58" spans="1:8" x14ac:dyDescent="0.25">
      <c r="A58" t="s">
        <v>1043</v>
      </c>
      <c r="B58" t="s">
        <v>555</v>
      </c>
      <c r="C58" t="s">
        <v>556</v>
      </c>
      <c r="D58" t="s">
        <v>10</v>
      </c>
      <c r="E58">
        <v>350633.66</v>
      </c>
      <c r="F58">
        <v>36</v>
      </c>
      <c r="G58">
        <v>12622811.76</v>
      </c>
      <c r="H58" t="s">
        <v>1388</v>
      </c>
    </row>
    <row r="59" spans="1:8" x14ac:dyDescent="0.25">
      <c r="A59" t="s">
        <v>1044</v>
      </c>
      <c r="B59" t="s">
        <v>291</v>
      </c>
      <c r="C59" t="s">
        <v>292</v>
      </c>
      <c r="D59" t="s">
        <v>26</v>
      </c>
      <c r="E59">
        <v>1757728.88</v>
      </c>
      <c r="F59">
        <v>14</v>
      </c>
      <c r="G59">
        <v>24608204.32</v>
      </c>
      <c r="H59" t="s">
        <v>1388</v>
      </c>
    </row>
    <row r="60" spans="1:8" x14ac:dyDescent="0.25">
      <c r="A60" t="s">
        <v>1044</v>
      </c>
      <c r="B60" t="s">
        <v>933</v>
      </c>
      <c r="C60" t="s">
        <v>934</v>
      </c>
      <c r="D60" t="s">
        <v>10</v>
      </c>
      <c r="E60">
        <v>1687519.18</v>
      </c>
      <c r="F60">
        <v>62</v>
      </c>
      <c r="G60">
        <v>104626189.16</v>
      </c>
      <c r="H60" t="s">
        <v>1388</v>
      </c>
    </row>
    <row r="61" spans="1:8" x14ac:dyDescent="0.25">
      <c r="A61" t="s">
        <v>1044</v>
      </c>
      <c r="B61" t="s">
        <v>525</v>
      </c>
      <c r="C61" t="s">
        <v>526</v>
      </c>
      <c r="D61" t="s">
        <v>10</v>
      </c>
      <c r="E61">
        <v>1583639.1</v>
      </c>
      <c r="F61">
        <v>53</v>
      </c>
      <c r="G61">
        <v>83932872.299999997</v>
      </c>
      <c r="H61" t="s">
        <v>1388</v>
      </c>
    </row>
    <row r="62" spans="1:8" x14ac:dyDescent="0.25">
      <c r="A62" t="s">
        <v>1391</v>
      </c>
      <c r="B62" t="s">
        <v>567</v>
      </c>
      <c r="C62" t="s">
        <v>568</v>
      </c>
      <c r="D62" t="s">
        <v>26</v>
      </c>
      <c r="E62">
        <v>598993.74</v>
      </c>
      <c r="F62">
        <v>35</v>
      </c>
      <c r="G62">
        <v>20964780.899999999</v>
      </c>
      <c r="H62" t="s">
        <v>1388</v>
      </c>
    </row>
    <row r="63" spans="1:8" x14ac:dyDescent="0.25">
      <c r="A63" t="s">
        <v>1391</v>
      </c>
      <c r="B63" t="s">
        <v>371</v>
      </c>
      <c r="C63" t="s">
        <v>372</v>
      </c>
      <c r="D63" t="s">
        <v>26</v>
      </c>
      <c r="E63">
        <v>3987335.68</v>
      </c>
      <c r="F63">
        <v>35</v>
      </c>
      <c r="G63">
        <v>139556748.80000001</v>
      </c>
      <c r="H63" t="s">
        <v>1388</v>
      </c>
    </row>
    <row r="64" spans="1:8" x14ac:dyDescent="0.25">
      <c r="A64" t="s">
        <v>1045</v>
      </c>
      <c r="B64" t="s">
        <v>937</v>
      </c>
      <c r="C64" t="s">
        <v>938</v>
      </c>
      <c r="D64" t="s">
        <v>14</v>
      </c>
      <c r="E64">
        <v>550743.44999999995</v>
      </c>
      <c r="F64">
        <v>62</v>
      </c>
      <c r="G64">
        <v>34146093.899999999</v>
      </c>
      <c r="H64" t="s">
        <v>1388</v>
      </c>
    </row>
    <row r="65" spans="1:8" x14ac:dyDescent="0.25">
      <c r="A65" t="s">
        <v>1046</v>
      </c>
      <c r="B65" t="s">
        <v>177</v>
      </c>
      <c r="C65" t="s">
        <v>178</v>
      </c>
      <c r="D65" t="s">
        <v>14</v>
      </c>
      <c r="E65">
        <v>486298.2</v>
      </c>
      <c r="F65">
        <v>38</v>
      </c>
      <c r="G65">
        <v>18479331.600000001</v>
      </c>
      <c r="H65" t="s">
        <v>1388</v>
      </c>
    </row>
    <row r="66" spans="1:8" x14ac:dyDescent="0.25">
      <c r="A66" t="s">
        <v>1046</v>
      </c>
      <c r="B66" t="s">
        <v>621</v>
      </c>
      <c r="C66" t="s">
        <v>622</v>
      </c>
      <c r="D66" t="s">
        <v>26</v>
      </c>
      <c r="E66">
        <v>2067932.5</v>
      </c>
      <c r="F66">
        <v>61</v>
      </c>
      <c r="G66">
        <v>126143882.5</v>
      </c>
      <c r="H66" t="s">
        <v>1388</v>
      </c>
    </row>
    <row r="67" spans="1:8" x14ac:dyDescent="0.25">
      <c r="A67" t="s">
        <v>1047</v>
      </c>
      <c r="B67" t="s">
        <v>20</v>
      </c>
      <c r="C67" t="s">
        <v>21</v>
      </c>
      <c r="D67" t="s">
        <v>10</v>
      </c>
      <c r="E67">
        <v>1023332.53</v>
      </c>
      <c r="F67">
        <v>58</v>
      </c>
      <c r="G67">
        <v>59353286.740000002</v>
      </c>
      <c r="H67" t="s">
        <v>1388</v>
      </c>
    </row>
    <row r="68" spans="1:8" x14ac:dyDescent="0.25">
      <c r="A68" t="s">
        <v>1047</v>
      </c>
      <c r="B68" t="s">
        <v>923</v>
      </c>
      <c r="C68" t="s">
        <v>924</v>
      </c>
      <c r="D68" t="s">
        <v>19</v>
      </c>
      <c r="E68">
        <v>2104179.7799999998</v>
      </c>
      <c r="F68">
        <v>34</v>
      </c>
      <c r="G68">
        <v>71542112.519999996</v>
      </c>
      <c r="H68" t="s">
        <v>1388</v>
      </c>
    </row>
    <row r="69" spans="1:8" x14ac:dyDescent="0.25">
      <c r="A69" t="s">
        <v>1048</v>
      </c>
      <c r="B69" t="s">
        <v>805</v>
      </c>
      <c r="C69" t="s">
        <v>806</v>
      </c>
      <c r="D69" t="s">
        <v>26</v>
      </c>
      <c r="E69">
        <v>2934210.9</v>
      </c>
      <c r="F69">
        <v>65</v>
      </c>
      <c r="G69">
        <v>190723708.5</v>
      </c>
      <c r="H69" t="s">
        <v>1388</v>
      </c>
    </row>
    <row r="70" spans="1:8" x14ac:dyDescent="0.25">
      <c r="A70" t="s">
        <v>1049</v>
      </c>
      <c r="B70" t="s">
        <v>257</v>
      </c>
      <c r="C70" t="s">
        <v>258</v>
      </c>
      <c r="D70" t="s">
        <v>10</v>
      </c>
      <c r="E70">
        <v>1244453.33</v>
      </c>
      <c r="F70">
        <v>41</v>
      </c>
      <c r="G70">
        <v>51022586.530000001</v>
      </c>
      <c r="H70" t="s">
        <v>1388</v>
      </c>
    </row>
    <row r="71" spans="1:8" x14ac:dyDescent="0.25">
      <c r="A71" t="s">
        <v>1049</v>
      </c>
      <c r="B71" t="s">
        <v>253</v>
      </c>
      <c r="C71" t="s">
        <v>254</v>
      </c>
      <c r="D71" t="s">
        <v>19</v>
      </c>
      <c r="E71">
        <v>1186186.1499999999</v>
      </c>
      <c r="F71">
        <v>38</v>
      </c>
      <c r="G71">
        <v>45075073.700000003</v>
      </c>
      <c r="H71" t="s">
        <v>1388</v>
      </c>
    </row>
    <row r="72" spans="1:8" x14ac:dyDescent="0.25">
      <c r="A72" t="s">
        <v>1049</v>
      </c>
      <c r="B72" t="s">
        <v>407</v>
      </c>
      <c r="C72" t="s">
        <v>408</v>
      </c>
      <c r="D72" t="s">
        <v>19</v>
      </c>
      <c r="E72">
        <v>1226452.96</v>
      </c>
      <c r="F72">
        <v>39</v>
      </c>
      <c r="G72">
        <v>47831665.439999998</v>
      </c>
      <c r="H72" t="s">
        <v>1388</v>
      </c>
    </row>
    <row r="73" spans="1:8" x14ac:dyDescent="0.25">
      <c r="A73" t="s">
        <v>1050</v>
      </c>
      <c r="B73" t="s">
        <v>17</v>
      </c>
      <c r="C73" t="s">
        <v>18</v>
      </c>
      <c r="D73" t="s">
        <v>19</v>
      </c>
      <c r="E73">
        <v>1490835.94</v>
      </c>
      <c r="F73">
        <v>1</v>
      </c>
      <c r="G73">
        <v>1490835.94</v>
      </c>
      <c r="H73" t="s">
        <v>1388</v>
      </c>
    </row>
    <row r="74" spans="1:8" x14ac:dyDescent="0.25">
      <c r="A74" t="s">
        <v>1050</v>
      </c>
      <c r="B74" t="s">
        <v>635</v>
      </c>
      <c r="C74" t="s">
        <v>636</v>
      </c>
      <c r="D74" t="s">
        <v>10</v>
      </c>
      <c r="E74">
        <v>593329.91</v>
      </c>
      <c r="F74">
        <v>43</v>
      </c>
      <c r="G74">
        <v>25513186.129999999</v>
      </c>
      <c r="H74" t="s">
        <v>1388</v>
      </c>
    </row>
    <row r="75" spans="1:8" x14ac:dyDescent="0.25">
      <c r="A75" t="s">
        <v>1050</v>
      </c>
      <c r="B75" t="s">
        <v>297</v>
      </c>
      <c r="C75" t="s">
        <v>298</v>
      </c>
      <c r="D75" t="s">
        <v>10</v>
      </c>
      <c r="E75">
        <v>1307090.28</v>
      </c>
      <c r="F75">
        <v>1</v>
      </c>
      <c r="G75">
        <v>1307090.28</v>
      </c>
      <c r="H75" t="s">
        <v>1388</v>
      </c>
    </row>
    <row r="76" spans="1:8" x14ac:dyDescent="0.25">
      <c r="A76" t="s">
        <v>1050</v>
      </c>
      <c r="B76" t="s">
        <v>503</v>
      </c>
      <c r="C76" t="s">
        <v>504</v>
      </c>
      <c r="D76" t="s">
        <v>26</v>
      </c>
      <c r="E76">
        <v>2928508.05</v>
      </c>
      <c r="F76">
        <v>59</v>
      </c>
      <c r="G76">
        <v>172781974.94999999</v>
      </c>
      <c r="H76" t="s">
        <v>1388</v>
      </c>
    </row>
    <row r="77" spans="1:8" x14ac:dyDescent="0.25">
      <c r="A77" t="s">
        <v>1051</v>
      </c>
      <c r="B77" t="s">
        <v>931</v>
      </c>
      <c r="C77" t="s">
        <v>932</v>
      </c>
      <c r="D77" t="s">
        <v>10</v>
      </c>
      <c r="E77">
        <v>774748.07</v>
      </c>
      <c r="F77">
        <v>80</v>
      </c>
      <c r="G77">
        <v>61979845.600000001</v>
      </c>
      <c r="H77" t="s">
        <v>1388</v>
      </c>
    </row>
    <row r="78" spans="1:8" x14ac:dyDescent="0.25">
      <c r="A78" t="s">
        <v>1051</v>
      </c>
      <c r="B78" t="s">
        <v>229</v>
      </c>
      <c r="C78" t="s">
        <v>230</v>
      </c>
      <c r="D78" t="s">
        <v>14</v>
      </c>
      <c r="E78">
        <v>639357.92000000004</v>
      </c>
      <c r="F78">
        <v>30</v>
      </c>
      <c r="G78">
        <v>19180737.600000001</v>
      </c>
      <c r="H78" t="s">
        <v>1388</v>
      </c>
    </row>
    <row r="79" spans="1:8" x14ac:dyDescent="0.25">
      <c r="A79" t="s">
        <v>1051</v>
      </c>
      <c r="B79" t="s">
        <v>631</v>
      </c>
      <c r="C79" t="s">
        <v>632</v>
      </c>
      <c r="D79" t="s">
        <v>19</v>
      </c>
      <c r="E79">
        <v>1664451.72</v>
      </c>
      <c r="F79">
        <v>43</v>
      </c>
      <c r="G79">
        <v>71571423.959999993</v>
      </c>
      <c r="H79" t="s">
        <v>1388</v>
      </c>
    </row>
    <row r="80" spans="1:8" x14ac:dyDescent="0.25">
      <c r="A80" t="s">
        <v>1052</v>
      </c>
      <c r="B80" t="s">
        <v>929</v>
      </c>
      <c r="C80" t="s">
        <v>930</v>
      </c>
      <c r="D80" t="s">
        <v>10</v>
      </c>
      <c r="E80">
        <v>1310449.28</v>
      </c>
      <c r="F80">
        <v>32</v>
      </c>
      <c r="G80">
        <v>41934376.960000001</v>
      </c>
      <c r="H80" t="s">
        <v>1388</v>
      </c>
    </row>
    <row r="81" spans="1:8" x14ac:dyDescent="0.25">
      <c r="A81" t="s">
        <v>1054</v>
      </c>
      <c r="B81" t="s">
        <v>729</v>
      </c>
      <c r="C81" t="s">
        <v>730</v>
      </c>
      <c r="D81" t="s">
        <v>10</v>
      </c>
      <c r="E81">
        <v>344237.78</v>
      </c>
      <c r="F81">
        <v>3</v>
      </c>
      <c r="G81">
        <v>1032713.34</v>
      </c>
      <c r="H81" t="s">
        <v>1388</v>
      </c>
    </row>
    <row r="82" spans="1:8" x14ac:dyDescent="0.25">
      <c r="A82" t="s">
        <v>1054</v>
      </c>
      <c r="B82" t="s">
        <v>461</v>
      </c>
      <c r="C82" t="s">
        <v>462</v>
      </c>
      <c r="D82" t="s">
        <v>14</v>
      </c>
      <c r="E82">
        <v>846998.72</v>
      </c>
      <c r="F82">
        <v>63</v>
      </c>
      <c r="G82">
        <v>53360919.359999999</v>
      </c>
      <c r="H82" t="s">
        <v>1388</v>
      </c>
    </row>
    <row r="83" spans="1:8" x14ac:dyDescent="0.25">
      <c r="A83" t="s">
        <v>1054</v>
      </c>
      <c r="B83" t="s">
        <v>259</v>
      </c>
      <c r="C83" t="s">
        <v>260</v>
      </c>
      <c r="D83" t="s">
        <v>10</v>
      </c>
      <c r="E83">
        <v>1045306.4</v>
      </c>
      <c r="F83">
        <v>44</v>
      </c>
      <c r="G83">
        <v>45993481.600000001</v>
      </c>
      <c r="H83" t="s">
        <v>1388</v>
      </c>
    </row>
    <row r="84" spans="1:8" x14ac:dyDescent="0.25">
      <c r="A84" t="s">
        <v>1392</v>
      </c>
      <c r="B84" t="s">
        <v>455</v>
      </c>
      <c r="C84" t="s">
        <v>456</v>
      </c>
      <c r="D84" t="s">
        <v>14</v>
      </c>
      <c r="E84">
        <v>1194709.53</v>
      </c>
      <c r="F84">
        <v>22</v>
      </c>
      <c r="G84">
        <v>26283609.66</v>
      </c>
      <c r="H84" t="s">
        <v>1388</v>
      </c>
    </row>
    <row r="85" spans="1:8" x14ac:dyDescent="0.25">
      <c r="A85" t="s">
        <v>1392</v>
      </c>
      <c r="B85" t="s">
        <v>35</v>
      </c>
      <c r="C85" t="s">
        <v>36</v>
      </c>
      <c r="D85" t="s">
        <v>14</v>
      </c>
      <c r="E85">
        <v>488005.72</v>
      </c>
      <c r="F85">
        <v>8</v>
      </c>
      <c r="G85">
        <v>3904045.76</v>
      </c>
      <c r="H85" t="s">
        <v>1388</v>
      </c>
    </row>
    <row r="86" spans="1:8" x14ac:dyDescent="0.25">
      <c r="A86" t="s">
        <v>1392</v>
      </c>
      <c r="B86" t="s">
        <v>227</v>
      </c>
      <c r="C86" t="s">
        <v>228</v>
      </c>
      <c r="D86" t="s">
        <v>14</v>
      </c>
      <c r="E86">
        <v>718529.02</v>
      </c>
      <c r="F86">
        <v>17</v>
      </c>
      <c r="G86">
        <v>12214993.34</v>
      </c>
      <c r="H86" t="s">
        <v>1388</v>
      </c>
    </row>
    <row r="87" spans="1:8" x14ac:dyDescent="0.25">
      <c r="A87" t="s">
        <v>1055</v>
      </c>
      <c r="B87" t="s">
        <v>827</v>
      </c>
      <c r="C87" t="s">
        <v>828</v>
      </c>
      <c r="D87" t="s">
        <v>26</v>
      </c>
      <c r="E87">
        <v>2373916.69</v>
      </c>
      <c r="F87">
        <v>45</v>
      </c>
      <c r="G87">
        <v>106826251.05</v>
      </c>
      <c r="H87" t="s">
        <v>1388</v>
      </c>
    </row>
    <row r="88" spans="1:8" x14ac:dyDescent="0.25">
      <c r="A88" t="s">
        <v>1055</v>
      </c>
      <c r="B88" t="s">
        <v>527</v>
      </c>
      <c r="C88" t="s">
        <v>528</v>
      </c>
      <c r="D88" t="s">
        <v>14</v>
      </c>
      <c r="E88">
        <v>755071.09</v>
      </c>
      <c r="F88">
        <v>44</v>
      </c>
      <c r="G88">
        <v>33223127.960000001</v>
      </c>
      <c r="H88" t="s">
        <v>1388</v>
      </c>
    </row>
    <row r="89" spans="1:8" x14ac:dyDescent="0.25">
      <c r="A89" t="s">
        <v>1056</v>
      </c>
      <c r="B89" t="s">
        <v>961</v>
      </c>
      <c r="C89" t="s">
        <v>962</v>
      </c>
      <c r="D89" t="s">
        <v>19</v>
      </c>
      <c r="E89">
        <v>1499525.69</v>
      </c>
      <c r="F89">
        <v>31</v>
      </c>
      <c r="G89">
        <v>46485296.390000001</v>
      </c>
      <c r="H89" t="s">
        <v>1388</v>
      </c>
    </row>
    <row r="90" spans="1:8" x14ac:dyDescent="0.25">
      <c r="A90" t="s">
        <v>1056</v>
      </c>
      <c r="B90" t="s">
        <v>637</v>
      </c>
      <c r="C90" t="s">
        <v>638</v>
      </c>
      <c r="D90" t="s">
        <v>26</v>
      </c>
      <c r="E90">
        <v>3139642.37</v>
      </c>
      <c r="F90">
        <v>31</v>
      </c>
      <c r="G90">
        <v>97328913.469999999</v>
      </c>
      <c r="H90" t="s">
        <v>1388</v>
      </c>
    </row>
    <row r="91" spans="1:8" x14ac:dyDescent="0.25">
      <c r="A91" t="s">
        <v>1056</v>
      </c>
      <c r="B91" t="s">
        <v>683</v>
      </c>
      <c r="C91" t="s">
        <v>684</v>
      </c>
      <c r="D91" t="s">
        <v>10</v>
      </c>
      <c r="E91">
        <v>1428837.02</v>
      </c>
      <c r="F91">
        <v>53</v>
      </c>
      <c r="G91">
        <v>75728362.060000002</v>
      </c>
      <c r="H91" t="s">
        <v>1388</v>
      </c>
    </row>
    <row r="92" spans="1:8" x14ac:dyDescent="0.25">
      <c r="A92" t="s">
        <v>1057</v>
      </c>
      <c r="B92" t="s">
        <v>743</v>
      </c>
      <c r="C92" t="s">
        <v>744</v>
      </c>
      <c r="D92" t="s">
        <v>14</v>
      </c>
      <c r="E92">
        <v>939924.86</v>
      </c>
      <c r="F92">
        <v>3</v>
      </c>
      <c r="G92">
        <v>2819774.58</v>
      </c>
      <c r="H92" t="s">
        <v>1388</v>
      </c>
    </row>
    <row r="93" spans="1:8" x14ac:dyDescent="0.25">
      <c r="A93" t="s">
        <v>1057</v>
      </c>
      <c r="B93" t="s">
        <v>759</v>
      </c>
      <c r="C93" t="s">
        <v>760</v>
      </c>
      <c r="D93" t="s">
        <v>10</v>
      </c>
      <c r="E93">
        <v>390235.49</v>
      </c>
      <c r="F93">
        <v>37</v>
      </c>
      <c r="G93">
        <v>14438713.130000001</v>
      </c>
      <c r="H93" t="s">
        <v>1388</v>
      </c>
    </row>
    <row r="94" spans="1:8" x14ac:dyDescent="0.25">
      <c r="A94" t="s">
        <v>1058</v>
      </c>
      <c r="B94" t="s">
        <v>549</v>
      </c>
      <c r="C94" t="s">
        <v>550</v>
      </c>
      <c r="D94" t="s">
        <v>10</v>
      </c>
      <c r="E94">
        <v>882495.25</v>
      </c>
      <c r="F94">
        <v>13</v>
      </c>
      <c r="G94">
        <v>11472438.25</v>
      </c>
      <c r="H94" t="s">
        <v>1388</v>
      </c>
    </row>
    <row r="95" spans="1:8" x14ac:dyDescent="0.25">
      <c r="A95" t="s">
        <v>1058</v>
      </c>
      <c r="B95" t="s">
        <v>963</v>
      </c>
      <c r="C95" t="s">
        <v>964</v>
      </c>
      <c r="D95" t="s">
        <v>26</v>
      </c>
      <c r="E95">
        <v>2874285.91</v>
      </c>
      <c r="F95">
        <v>25</v>
      </c>
      <c r="G95">
        <v>71857147.75</v>
      </c>
      <c r="H95" t="s">
        <v>1388</v>
      </c>
    </row>
    <row r="96" spans="1:8" x14ac:dyDescent="0.25">
      <c r="A96" t="s">
        <v>1058</v>
      </c>
      <c r="B96" t="s">
        <v>899</v>
      </c>
      <c r="C96" t="s">
        <v>900</v>
      </c>
      <c r="D96" t="s">
        <v>14</v>
      </c>
      <c r="E96">
        <v>366565.68</v>
      </c>
      <c r="F96">
        <v>8</v>
      </c>
      <c r="G96">
        <v>2932525.44</v>
      </c>
      <c r="H96" t="s">
        <v>1388</v>
      </c>
    </row>
    <row r="97" spans="1:8" x14ac:dyDescent="0.25">
      <c r="A97" t="s">
        <v>1058</v>
      </c>
      <c r="B97" t="s">
        <v>525</v>
      </c>
      <c r="C97" t="s">
        <v>526</v>
      </c>
      <c r="D97" t="s">
        <v>10</v>
      </c>
      <c r="E97">
        <v>1558901.35</v>
      </c>
      <c r="F97">
        <v>61</v>
      </c>
      <c r="G97">
        <v>95092982.349999994</v>
      </c>
      <c r="H97" t="s">
        <v>1388</v>
      </c>
    </row>
    <row r="98" spans="1:8" x14ac:dyDescent="0.25">
      <c r="A98" t="s">
        <v>1058</v>
      </c>
      <c r="B98" t="s">
        <v>579</v>
      </c>
      <c r="C98" t="s">
        <v>580</v>
      </c>
      <c r="D98" t="s">
        <v>26</v>
      </c>
      <c r="E98">
        <v>1301597.26</v>
      </c>
      <c r="F98">
        <v>39</v>
      </c>
      <c r="G98">
        <v>50762293.140000001</v>
      </c>
      <c r="H98" t="s">
        <v>1388</v>
      </c>
    </row>
    <row r="99" spans="1:8" x14ac:dyDescent="0.25">
      <c r="A99" t="s">
        <v>1058</v>
      </c>
      <c r="B99" t="s">
        <v>595</v>
      </c>
      <c r="C99" t="s">
        <v>596</v>
      </c>
      <c r="D99" t="s">
        <v>26</v>
      </c>
      <c r="E99">
        <v>3572577.35</v>
      </c>
      <c r="F99">
        <v>37</v>
      </c>
      <c r="G99">
        <v>132185361.95</v>
      </c>
      <c r="H99" t="s">
        <v>1388</v>
      </c>
    </row>
    <row r="100" spans="1:8" x14ac:dyDescent="0.25">
      <c r="A100" t="s">
        <v>1393</v>
      </c>
      <c r="B100" t="s">
        <v>799</v>
      </c>
      <c r="C100" t="s">
        <v>800</v>
      </c>
      <c r="D100" t="s">
        <v>19</v>
      </c>
      <c r="E100">
        <v>716819.92</v>
      </c>
      <c r="F100">
        <v>4</v>
      </c>
      <c r="G100">
        <v>2867279.68</v>
      </c>
      <c r="H100" t="s">
        <v>1388</v>
      </c>
    </row>
    <row r="101" spans="1:8" x14ac:dyDescent="0.25">
      <c r="A101" t="s">
        <v>1393</v>
      </c>
      <c r="B101" t="s">
        <v>807</v>
      </c>
      <c r="C101" t="s">
        <v>808</v>
      </c>
      <c r="D101" t="s">
        <v>14</v>
      </c>
      <c r="E101">
        <v>489157.04</v>
      </c>
      <c r="F101">
        <v>22</v>
      </c>
      <c r="G101">
        <v>10761454.880000001</v>
      </c>
      <c r="H101" t="s">
        <v>1388</v>
      </c>
    </row>
    <row r="102" spans="1:8" x14ac:dyDescent="0.25">
      <c r="A102" t="s">
        <v>1060</v>
      </c>
      <c r="B102" t="s">
        <v>677</v>
      </c>
      <c r="C102" t="s">
        <v>678</v>
      </c>
      <c r="D102" t="s">
        <v>26</v>
      </c>
      <c r="E102">
        <v>538413.76</v>
      </c>
      <c r="F102">
        <v>52</v>
      </c>
      <c r="G102">
        <v>27997515.52</v>
      </c>
      <c r="H102" t="s">
        <v>1388</v>
      </c>
    </row>
    <row r="103" spans="1:8" x14ac:dyDescent="0.25">
      <c r="A103" t="s">
        <v>1060</v>
      </c>
      <c r="B103" t="s">
        <v>377</v>
      </c>
      <c r="C103" t="s">
        <v>378</v>
      </c>
      <c r="D103" t="s">
        <v>26</v>
      </c>
      <c r="E103">
        <v>3197426.32</v>
      </c>
      <c r="F103">
        <v>39</v>
      </c>
      <c r="G103">
        <v>124699626.48</v>
      </c>
      <c r="H103" t="s">
        <v>1388</v>
      </c>
    </row>
    <row r="104" spans="1:8" x14ac:dyDescent="0.25">
      <c r="A104" t="s">
        <v>1061</v>
      </c>
      <c r="B104" t="s">
        <v>933</v>
      </c>
      <c r="C104" t="s">
        <v>934</v>
      </c>
      <c r="D104" t="s">
        <v>10</v>
      </c>
      <c r="E104">
        <v>1478484.63</v>
      </c>
      <c r="F104">
        <v>48</v>
      </c>
      <c r="G104">
        <v>70967262.239999995</v>
      </c>
      <c r="H104" t="s">
        <v>1388</v>
      </c>
    </row>
    <row r="105" spans="1:8" x14ac:dyDescent="0.25">
      <c r="A105" t="s">
        <v>1061</v>
      </c>
      <c r="B105" t="s">
        <v>195</v>
      </c>
      <c r="C105" t="s">
        <v>196</v>
      </c>
      <c r="D105" t="s">
        <v>14</v>
      </c>
      <c r="E105">
        <v>297478.78000000003</v>
      </c>
      <c r="F105">
        <v>10</v>
      </c>
      <c r="G105">
        <v>2974787.8</v>
      </c>
      <c r="H105" t="s">
        <v>1388</v>
      </c>
    </row>
    <row r="106" spans="1:8" x14ac:dyDescent="0.25">
      <c r="A106" t="s">
        <v>1063</v>
      </c>
      <c r="B106" t="s">
        <v>403</v>
      </c>
      <c r="C106" t="s">
        <v>404</v>
      </c>
      <c r="D106" t="s">
        <v>19</v>
      </c>
      <c r="E106">
        <v>1067053.23</v>
      </c>
      <c r="F106">
        <v>24</v>
      </c>
      <c r="G106">
        <v>25609277.52</v>
      </c>
      <c r="H106" t="s">
        <v>1388</v>
      </c>
    </row>
    <row r="107" spans="1:8" x14ac:dyDescent="0.25">
      <c r="A107" t="s">
        <v>1063</v>
      </c>
      <c r="B107" t="s">
        <v>173</v>
      </c>
      <c r="C107" t="s">
        <v>174</v>
      </c>
      <c r="D107" t="s">
        <v>19</v>
      </c>
      <c r="E107">
        <v>1436792.38</v>
      </c>
      <c r="F107">
        <v>45</v>
      </c>
      <c r="G107">
        <v>64655657.100000001</v>
      </c>
      <c r="H107" t="s">
        <v>1388</v>
      </c>
    </row>
    <row r="108" spans="1:8" x14ac:dyDescent="0.25">
      <c r="A108" t="s">
        <v>1394</v>
      </c>
      <c r="B108" t="s">
        <v>781</v>
      </c>
      <c r="C108" t="s">
        <v>782</v>
      </c>
      <c r="D108" t="s">
        <v>14</v>
      </c>
      <c r="E108">
        <v>1152419.8400000001</v>
      </c>
      <c r="F108">
        <v>47</v>
      </c>
      <c r="G108">
        <v>54163732.479999997</v>
      </c>
      <c r="H108" t="s">
        <v>1388</v>
      </c>
    </row>
    <row r="109" spans="1:8" x14ac:dyDescent="0.25">
      <c r="A109" t="s">
        <v>1395</v>
      </c>
      <c r="B109" t="s">
        <v>235</v>
      </c>
      <c r="C109" t="s">
        <v>236</v>
      </c>
      <c r="D109" t="s">
        <v>10</v>
      </c>
      <c r="E109">
        <v>1396784.09</v>
      </c>
      <c r="F109">
        <v>41</v>
      </c>
      <c r="G109">
        <v>57268147.689999998</v>
      </c>
      <c r="H109" t="s">
        <v>1388</v>
      </c>
    </row>
    <row r="110" spans="1:8" x14ac:dyDescent="0.25">
      <c r="A110" t="s">
        <v>1395</v>
      </c>
      <c r="B110" t="s">
        <v>819</v>
      </c>
      <c r="C110" t="s">
        <v>820</v>
      </c>
      <c r="D110" t="s">
        <v>10</v>
      </c>
      <c r="E110">
        <v>1397405.53</v>
      </c>
      <c r="F110">
        <v>58</v>
      </c>
      <c r="G110">
        <v>81049520.739999995</v>
      </c>
      <c r="H110" t="s">
        <v>1388</v>
      </c>
    </row>
    <row r="111" spans="1:8" x14ac:dyDescent="0.25">
      <c r="A111" t="s">
        <v>1395</v>
      </c>
      <c r="B111" t="s">
        <v>99</v>
      </c>
      <c r="C111" t="s">
        <v>100</v>
      </c>
      <c r="D111" t="s">
        <v>14</v>
      </c>
      <c r="E111">
        <v>491495.52</v>
      </c>
      <c r="F111">
        <v>16</v>
      </c>
      <c r="G111">
        <v>7863928.3200000003</v>
      </c>
      <c r="H111" t="s">
        <v>1388</v>
      </c>
    </row>
    <row r="112" spans="1:8" x14ac:dyDescent="0.25">
      <c r="A112" t="s">
        <v>1396</v>
      </c>
      <c r="B112" t="s">
        <v>879</v>
      </c>
      <c r="C112" t="s">
        <v>880</v>
      </c>
      <c r="D112" t="s">
        <v>10</v>
      </c>
      <c r="E112">
        <v>1629114.48</v>
      </c>
      <c r="F112">
        <v>80</v>
      </c>
      <c r="G112">
        <v>130329158.40000001</v>
      </c>
      <c r="H112" t="s">
        <v>1388</v>
      </c>
    </row>
    <row r="113" spans="1:8" x14ac:dyDescent="0.25">
      <c r="A113" t="s">
        <v>1397</v>
      </c>
      <c r="B113" t="s">
        <v>237</v>
      </c>
      <c r="C113" t="s">
        <v>238</v>
      </c>
      <c r="D113" t="s">
        <v>10</v>
      </c>
      <c r="E113">
        <v>1355631.1</v>
      </c>
      <c r="F113">
        <v>14</v>
      </c>
      <c r="G113">
        <v>18978835.399999999</v>
      </c>
      <c r="H113" t="s">
        <v>1388</v>
      </c>
    </row>
    <row r="114" spans="1:8" x14ac:dyDescent="0.25">
      <c r="A114" t="s">
        <v>1397</v>
      </c>
      <c r="B114" t="s">
        <v>733</v>
      </c>
      <c r="C114" t="s">
        <v>734</v>
      </c>
      <c r="D114" t="s">
        <v>14</v>
      </c>
      <c r="E114">
        <v>342670.55</v>
      </c>
      <c r="F114">
        <v>40</v>
      </c>
      <c r="G114">
        <v>13706822</v>
      </c>
      <c r="H114" t="s">
        <v>1388</v>
      </c>
    </row>
    <row r="115" spans="1:8" x14ac:dyDescent="0.25">
      <c r="A115" t="s">
        <v>1397</v>
      </c>
      <c r="B115" t="s">
        <v>755</v>
      </c>
      <c r="C115" t="s">
        <v>756</v>
      </c>
      <c r="D115" t="s">
        <v>14</v>
      </c>
      <c r="E115">
        <v>332107.21999999997</v>
      </c>
      <c r="F115">
        <v>18</v>
      </c>
      <c r="G115">
        <v>5977929.96</v>
      </c>
      <c r="H115" t="s">
        <v>1388</v>
      </c>
    </row>
    <row r="116" spans="1:8" x14ac:dyDescent="0.25">
      <c r="A116" t="s">
        <v>1397</v>
      </c>
      <c r="B116" t="s">
        <v>749</v>
      </c>
      <c r="C116" t="s">
        <v>750</v>
      </c>
      <c r="D116" t="s">
        <v>19</v>
      </c>
      <c r="E116">
        <v>245640.08</v>
      </c>
      <c r="F116">
        <v>65</v>
      </c>
      <c r="G116">
        <v>15966605.199999999</v>
      </c>
      <c r="H116" t="s">
        <v>1388</v>
      </c>
    </row>
    <row r="117" spans="1:8" x14ac:dyDescent="0.25">
      <c r="A117" t="s">
        <v>1067</v>
      </c>
      <c r="B117" t="s">
        <v>1003</v>
      </c>
      <c r="C117" t="s">
        <v>1004</v>
      </c>
      <c r="D117" t="s">
        <v>10</v>
      </c>
      <c r="E117">
        <v>458367.67</v>
      </c>
      <c r="F117">
        <v>29</v>
      </c>
      <c r="G117">
        <v>13292662.43</v>
      </c>
      <c r="H117" t="s">
        <v>1388</v>
      </c>
    </row>
    <row r="118" spans="1:8" x14ac:dyDescent="0.25">
      <c r="A118" t="s">
        <v>1067</v>
      </c>
      <c r="B118" t="s">
        <v>239</v>
      </c>
      <c r="C118" t="s">
        <v>240</v>
      </c>
      <c r="D118" t="s">
        <v>10</v>
      </c>
      <c r="E118">
        <v>854499.09</v>
      </c>
      <c r="F118">
        <v>12</v>
      </c>
      <c r="G118">
        <v>10253989.08</v>
      </c>
      <c r="H118" t="s">
        <v>1388</v>
      </c>
    </row>
    <row r="119" spans="1:8" x14ac:dyDescent="0.25">
      <c r="A119" t="s">
        <v>1398</v>
      </c>
      <c r="B119" t="s">
        <v>147</v>
      </c>
      <c r="C119" t="s">
        <v>148</v>
      </c>
      <c r="D119" t="s">
        <v>19</v>
      </c>
      <c r="E119">
        <v>1253370.68</v>
      </c>
      <c r="F119">
        <v>38</v>
      </c>
      <c r="G119">
        <v>47628085.840000004</v>
      </c>
      <c r="H119" t="s">
        <v>1388</v>
      </c>
    </row>
    <row r="120" spans="1:8" x14ac:dyDescent="0.25">
      <c r="A120" t="s">
        <v>1398</v>
      </c>
      <c r="B120" t="s">
        <v>291</v>
      </c>
      <c r="C120" t="s">
        <v>292</v>
      </c>
      <c r="D120" t="s">
        <v>26</v>
      </c>
      <c r="E120">
        <v>1789102.06</v>
      </c>
      <c r="F120">
        <v>62</v>
      </c>
      <c r="G120">
        <v>110924327.72</v>
      </c>
      <c r="H120" t="s">
        <v>1388</v>
      </c>
    </row>
    <row r="121" spans="1:8" x14ac:dyDescent="0.25">
      <c r="A121" t="s">
        <v>1398</v>
      </c>
      <c r="B121" t="s">
        <v>435</v>
      </c>
      <c r="C121" t="s">
        <v>436</v>
      </c>
      <c r="D121" t="s">
        <v>10</v>
      </c>
      <c r="E121">
        <v>1140412.76</v>
      </c>
      <c r="F121">
        <v>20</v>
      </c>
      <c r="G121">
        <v>22808255.199999999</v>
      </c>
      <c r="H121" t="s">
        <v>1388</v>
      </c>
    </row>
    <row r="122" spans="1:8" x14ac:dyDescent="0.25">
      <c r="A122" t="s">
        <v>1398</v>
      </c>
      <c r="B122" t="s">
        <v>159</v>
      </c>
      <c r="C122" t="s">
        <v>160</v>
      </c>
      <c r="D122" t="s">
        <v>19</v>
      </c>
      <c r="E122">
        <v>1680965.17</v>
      </c>
      <c r="F122">
        <v>72</v>
      </c>
      <c r="G122">
        <v>121029492.23999999</v>
      </c>
      <c r="H122" t="s">
        <v>1388</v>
      </c>
    </row>
    <row r="123" spans="1:8" x14ac:dyDescent="0.25">
      <c r="A123" t="s">
        <v>1398</v>
      </c>
      <c r="B123" t="s">
        <v>127</v>
      </c>
      <c r="C123" t="s">
        <v>128</v>
      </c>
      <c r="D123" t="s">
        <v>14</v>
      </c>
      <c r="E123">
        <v>1218307.78</v>
      </c>
      <c r="F123">
        <v>63</v>
      </c>
      <c r="G123">
        <v>76753390.140000001</v>
      </c>
      <c r="H123" t="s">
        <v>1388</v>
      </c>
    </row>
    <row r="124" spans="1:8" x14ac:dyDescent="0.25">
      <c r="A124" t="s">
        <v>1399</v>
      </c>
      <c r="B124" t="s">
        <v>939</v>
      </c>
      <c r="C124" t="s">
        <v>940</v>
      </c>
      <c r="D124" t="s">
        <v>26</v>
      </c>
      <c r="E124">
        <v>3435062.67</v>
      </c>
      <c r="F124">
        <v>29</v>
      </c>
      <c r="G124">
        <v>99616817.430000007</v>
      </c>
      <c r="H124" t="s">
        <v>1388</v>
      </c>
    </row>
    <row r="125" spans="1:8" x14ac:dyDescent="0.25">
      <c r="A125" t="s">
        <v>1399</v>
      </c>
      <c r="B125" t="s">
        <v>393</v>
      </c>
      <c r="C125" t="s">
        <v>394</v>
      </c>
      <c r="D125" t="s">
        <v>26</v>
      </c>
      <c r="E125">
        <v>1187179.78</v>
      </c>
      <c r="F125">
        <v>6</v>
      </c>
      <c r="G125">
        <v>7123078.6799999997</v>
      </c>
      <c r="H125" t="s">
        <v>1388</v>
      </c>
    </row>
    <row r="126" spans="1:8" x14ac:dyDescent="0.25">
      <c r="A126" t="s">
        <v>1068</v>
      </c>
      <c r="B126" t="s">
        <v>171</v>
      </c>
      <c r="C126" t="s">
        <v>172</v>
      </c>
      <c r="D126" t="s">
        <v>14</v>
      </c>
      <c r="E126">
        <v>694342.39</v>
      </c>
      <c r="F126">
        <v>74</v>
      </c>
      <c r="G126">
        <v>51381336.859999999</v>
      </c>
      <c r="H126" t="s">
        <v>1388</v>
      </c>
    </row>
    <row r="127" spans="1:8" x14ac:dyDescent="0.25">
      <c r="A127" t="s">
        <v>1070</v>
      </c>
      <c r="B127" t="s">
        <v>485</v>
      </c>
      <c r="C127" t="s">
        <v>486</v>
      </c>
      <c r="D127" t="s">
        <v>19</v>
      </c>
      <c r="E127">
        <v>1530378.32</v>
      </c>
      <c r="F127">
        <v>2</v>
      </c>
      <c r="G127">
        <v>3060756.64</v>
      </c>
      <c r="H127" t="s">
        <v>1388</v>
      </c>
    </row>
    <row r="128" spans="1:8" x14ac:dyDescent="0.25">
      <c r="A128" t="s">
        <v>1070</v>
      </c>
      <c r="B128" t="s">
        <v>713</v>
      </c>
      <c r="C128" t="s">
        <v>714</v>
      </c>
      <c r="D128" t="s">
        <v>26</v>
      </c>
      <c r="E128">
        <v>3547704.77</v>
      </c>
      <c r="F128">
        <v>48</v>
      </c>
      <c r="G128">
        <v>170289828.96000001</v>
      </c>
      <c r="H128" t="s">
        <v>1388</v>
      </c>
    </row>
    <row r="129" spans="1:8" x14ac:dyDescent="0.25">
      <c r="A129" t="s">
        <v>1070</v>
      </c>
      <c r="B129" t="s">
        <v>83</v>
      </c>
      <c r="C129" t="s">
        <v>84</v>
      </c>
      <c r="D129" t="s">
        <v>19</v>
      </c>
      <c r="E129">
        <v>1999610.16</v>
      </c>
      <c r="F129">
        <v>7</v>
      </c>
      <c r="G129">
        <v>13997271.119999999</v>
      </c>
      <c r="H129" t="s">
        <v>1388</v>
      </c>
    </row>
    <row r="130" spans="1:8" x14ac:dyDescent="0.25">
      <c r="A130" t="s">
        <v>1400</v>
      </c>
      <c r="B130" t="s">
        <v>67</v>
      </c>
      <c r="C130" t="s">
        <v>68</v>
      </c>
      <c r="D130" t="s">
        <v>19</v>
      </c>
      <c r="E130">
        <v>413246.13</v>
      </c>
      <c r="F130">
        <v>50</v>
      </c>
      <c r="G130">
        <v>20662306.5</v>
      </c>
      <c r="H130" t="s">
        <v>1388</v>
      </c>
    </row>
    <row r="131" spans="1:8" x14ac:dyDescent="0.25">
      <c r="A131" t="s">
        <v>1400</v>
      </c>
      <c r="B131" t="s">
        <v>203</v>
      </c>
      <c r="C131" t="s">
        <v>204</v>
      </c>
      <c r="D131" t="s">
        <v>10</v>
      </c>
      <c r="E131">
        <v>1248994.43</v>
      </c>
      <c r="F131">
        <v>59</v>
      </c>
      <c r="G131">
        <v>73690671.370000005</v>
      </c>
      <c r="H131" t="s">
        <v>1388</v>
      </c>
    </row>
    <row r="132" spans="1:8" x14ac:dyDescent="0.25">
      <c r="A132" t="s">
        <v>1401</v>
      </c>
      <c r="B132" t="s">
        <v>443</v>
      </c>
      <c r="C132" t="s">
        <v>444</v>
      </c>
      <c r="D132" t="s">
        <v>10</v>
      </c>
      <c r="E132">
        <v>1665166.13</v>
      </c>
      <c r="F132">
        <v>26</v>
      </c>
      <c r="G132">
        <v>43294319.380000003</v>
      </c>
      <c r="H132" t="s">
        <v>1388</v>
      </c>
    </row>
    <row r="133" spans="1:8" x14ac:dyDescent="0.25">
      <c r="A133" t="s">
        <v>1401</v>
      </c>
      <c r="B133" t="s">
        <v>397</v>
      </c>
      <c r="C133" t="s">
        <v>398</v>
      </c>
      <c r="D133" t="s">
        <v>26</v>
      </c>
      <c r="E133">
        <v>1042888.8</v>
      </c>
      <c r="F133">
        <v>35</v>
      </c>
      <c r="G133">
        <v>36501108</v>
      </c>
      <c r="H133" t="s">
        <v>1388</v>
      </c>
    </row>
    <row r="134" spans="1:8" x14ac:dyDescent="0.25">
      <c r="A134" t="s">
        <v>1073</v>
      </c>
      <c r="B134" t="s">
        <v>571</v>
      </c>
      <c r="C134" t="s">
        <v>572</v>
      </c>
      <c r="D134" t="s">
        <v>26</v>
      </c>
      <c r="E134">
        <v>2018043.42</v>
      </c>
      <c r="F134">
        <v>45</v>
      </c>
      <c r="G134">
        <v>90811953.900000006</v>
      </c>
      <c r="H134" t="s">
        <v>1388</v>
      </c>
    </row>
    <row r="135" spans="1:8" x14ac:dyDescent="0.25">
      <c r="A135" t="s">
        <v>1073</v>
      </c>
      <c r="B135" t="s">
        <v>747</v>
      </c>
      <c r="C135" t="s">
        <v>748</v>
      </c>
      <c r="D135" t="s">
        <v>19</v>
      </c>
      <c r="E135">
        <v>523776.93</v>
      </c>
      <c r="F135">
        <v>27</v>
      </c>
      <c r="G135">
        <v>14141977.109999999</v>
      </c>
      <c r="H135" t="s">
        <v>1388</v>
      </c>
    </row>
    <row r="136" spans="1:8" x14ac:dyDescent="0.25">
      <c r="A136" t="s">
        <v>1075</v>
      </c>
      <c r="B136" t="s">
        <v>397</v>
      </c>
      <c r="C136" t="s">
        <v>398</v>
      </c>
      <c r="D136" t="s">
        <v>26</v>
      </c>
      <c r="E136">
        <v>984260.61</v>
      </c>
      <c r="F136">
        <v>47</v>
      </c>
      <c r="G136">
        <v>46260248.670000002</v>
      </c>
      <c r="H136" t="s">
        <v>1388</v>
      </c>
    </row>
    <row r="137" spans="1:8" x14ac:dyDescent="0.25">
      <c r="A137" t="s">
        <v>1075</v>
      </c>
      <c r="B137" t="s">
        <v>899</v>
      </c>
      <c r="C137" t="s">
        <v>900</v>
      </c>
      <c r="D137" t="s">
        <v>14</v>
      </c>
      <c r="E137">
        <v>339318.82</v>
      </c>
      <c r="F137">
        <v>10</v>
      </c>
      <c r="G137">
        <v>3393188.2</v>
      </c>
      <c r="H137" t="s">
        <v>1388</v>
      </c>
    </row>
    <row r="138" spans="1:8" x14ac:dyDescent="0.25">
      <c r="A138" t="s">
        <v>1075</v>
      </c>
      <c r="B138" t="s">
        <v>123</v>
      </c>
      <c r="C138" t="s">
        <v>124</v>
      </c>
      <c r="D138" t="s">
        <v>19</v>
      </c>
      <c r="E138">
        <v>504973.23</v>
      </c>
      <c r="F138">
        <v>45</v>
      </c>
      <c r="G138">
        <v>22723795.350000001</v>
      </c>
      <c r="H138" t="s">
        <v>1388</v>
      </c>
    </row>
    <row r="139" spans="1:8" x14ac:dyDescent="0.25">
      <c r="A139" t="s">
        <v>1402</v>
      </c>
      <c r="B139" t="s">
        <v>41</v>
      </c>
      <c r="C139" t="s">
        <v>42</v>
      </c>
      <c r="D139" t="s">
        <v>26</v>
      </c>
      <c r="E139">
        <v>3143463.04</v>
      </c>
      <c r="F139">
        <v>27</v>
      </c>
      <c r="G139">
        <v>84873502.079999998</v>
      </c>
      <c r="H139" t="s">
        <v>1388</v>
      </c>
    </row>
    <row r="140" spans="1:8" x14ac:dyDescent="0.25">
      <c r="A140" t="s">
        <v>1402</v>
      </c>
      <c r="B140" t="s">
        <v>971</v>
      </c>
      <c r="C140" t="s">
        <v>972</v>
      </c>
      <c r="D140" t="s">
        <v>14</v>
      </c>
      <c r="E140">
        <v>798056.83</v>
      </c>
      <c r="F140">
        <v>28</v>
      </c>
      <c r="G140">
        <v>22345591.239999998</v>
      </c>
      <c r="H140" t="s">
        <v>1388</v>
      </c>
    </row>
    <row r="141" spans="1:8" x14ac:dyDescent="0.25">
      <c r="A141" t="s">
        <v>1402</v>
      </c>
      <c r="B141" t="s">
        <v>761</v>
      </c>
      <c r="C141" t="s">
        <v>762</v>
      </c>
      <c r="D141" t="s">
        <v>14</v>
      </c>
      <c r="E141">
        <v>907430.22</v>
      </c>
      <c r="F141">
        <v>65</v>
      </c>
      <c r="G141">
        <v>58982964.299999997</v>
      </c>
      <c r="H141" t="s">
        <v>1388</v>
      </c>
    </row>
    <row r="142" spans="1:8" x14ac:dyDescent="0.25">
      <c r="A142" t="s">
        <v>1076</v>
      </c>
      <c r="B142" t="s">
        <v>329</v>
      </c>
      <c r="C142" t="s">
        <v>330</v>
      </c>
      <c r="D142" t="s">
        <v>26</v>
      </c>
      <c r="E142">
        <v>3454773.87</v>
      </c>
      <c r="F142">
        <v>29</v>
      </c>
      <c r="G142">
        <v>100188442.23</v>
      </c>
      <c r="H142" t="s">
        <v>1388</v>
      </c>
    </row>
    <row r="143" spans="1:8" x14ac:dyDescent="0.25">
      <c r="A143" t="s">
        <v>1078</v>
      </c>
      <c r="B143" t="s">
        <v>937</v>
      </c>
      <c r="C143" t="s">
        <v>938</v>
      </c>
      <c r="D143" t="s">
        <v>14</v>
      </c>
      <c r="E143">
        <v>629181.49</v>
      </c>
      <c r="F143">
        <v>71</v>
      </c>
      <c r="G143">
        <v>44671885.789999999</v>
      </c>
      <c r="H143" t="s">
        <v>1388</v>
      </c>
    </row>
    <row r="144" spans="1:8" x14ac:dyDescent="0.25">
      <c r="A144" t="s">
        <v>1078</v>
      </c>
      <c r="B144" t="s">
        <v>799</v>
      </c>
      <c r="C144" t="s">
        <v>800</v>
      </c>
      <c r="D144" t="s">
        <v>19</v>
      </c>
      <c r="E144">
        <v>659537.5</v>
      </c>
      <c r="F144">
        <v>71</v>
      </c>
      <c r="G144">
        <v>46827162.5</v>
      </c>
      <c r="H144" t="s">
        <v>1388</v>
      </c>
    </row>
    <row r="145" spans="1:8" x14ac:dyDescent="0.25">
      <c r="A145" t="s">
        <v>1403</v>
      </c>
      <c r="B145" t="s">
        <v>291</v>
      </c>
      <c r="C145" t="s">
        <v>292</v>
      </c>
      <c r="D145" t="s">
        <v>26</v>
      </c>
      <c r="E145">
        <v>1898217.37</v>
      </c>
      <c r="F145">
        <v>60</v>
      </c>
      <c r="G145">
        <v>113893042.2</v>
      </c>
      <c r="H145" t="s">
        <v>1388</v>
      </c>
    </row>
    <row r="146" spans="1:8" x14ac:dyDescent="0.25">
      <c r="A146" t="s">
        <v>1403</v>
      </c>
      <c r="B146" t="s">
        <v>153</v>
      </c>
      <c r="C146" t="s">
        <v>154</v>
      </c>
      <c r="D146" t="s">
        <v>14</v>
      </c>
      <c r="E146">
        <v>804741.17</v>
      </c>
      <c r="F146">
        <v>66</v>
      </c>
      <c r="G146">
        <v>53112917.219999999</v>
      </c>
      <c r="H146" t="s">
        <v>1388</v>
      </c>
    </row>
    <row r="147" spans="1:8" x14ac:dyDescent="0.25">
      <c r="A147" t="s">
        <v>1403</v>
      </c>
      <c r="B147" t="s">
        <v>835</v>
      </c>
      <c r="C147" t="s">
        <v>836</v>
      </c>
      <c r="D147" t="s">
        <v>19</v>
      </c>
      <c r="E147">
        <v>506671.5</v>
      </c>
      <c r="F147">
        <v>24</v>
      </c>
      <c r="G147">
        <v>12160116</v>
      </c>
      <c r="H147" t="s">
        <v>1388</v>
      </c>
    </row>
    <row r="148" spans="1:8" x14ac:dyDescent="0.25">
      <c r="A148" t="s">
        <v>1079</v>
      </c>
      <c r="B148" t="s">
        <v>85</v>
      </c>
      <c r="C148" t="s">
        <v>86</v>
      </c>
      <c r="D148" t="s">
        <v>26</v>
      </c>
      <c r="E148">
        <v>3474356.72</v>
      </c>
      <c r="F148">
        <v>25</v>
      </c>
      <c r="G148">
        <v>86858918</v>
      </c>
      <c r="H148" t="s">
        <v>1388</v>
      </c>
    </row>
    <row r="149" spans="1:8" x14ac:dyDescent="0.25">
      <c r="A149" t="s">
        <v>1079</v>
      </c>
      <c r="B149" t="s">
        <v>689</v>
      </c>
      <c r="C149" t="s">
        <v>690</v>
      </c>
      <c r="D149" t="s">
        <v>10</v>
      </c>
      <c r="E149">
        <v>1193891.02</v>
      </c>
      <c r="F149">
        <v>67</v>
      </c>
      <c r="G149">
        <v>79990698.340000004</v>
      </c>
      <c r="H149" t="s">
        <v>1388</v>
      </c>
    </row>
    <row r="150" spans="1:8" x14ac:dyDescent="0.25">
      <c r="A150" t="s">
        <v>1080</v>
      </c>
      <c r="B150" t="s">
        <v>827</v>
      </c>
      <c r="C150" t="s">
        <v>828</v>
      </c>
      <c r="D150" t="s">
        <v>26</v>
      </c>
      <c r="E150">
        <v>2140196.0099999998</v>
      </c>
      <c r="F150">
        <v>28</v>
      </c>
      <c r="G150">
        <v>59925488.280000001</v>
      </c>
      <c r="H150" t="s">
        <v>1388</v>
      </c>
    </row>
    <row r="151" spans="1:8" x14ac:dyDescent="0.25">
      <c r="A151" t="s">
        <v>1080</v>
      </c>
      <c r="B151" t="s">
        <v>795</v>
      </c>
      <c r="C151" t="s">
        <v>796</v>
      </c>
      <c r="D151" t="s">
        <v>10</v>
      </c>
      <c r="E151">
        <v>778673.98</v>
      </c>
      <c r="F151">
        <v>32</v>
      </c>
      <c r="G151">
        <v>24917567.359999999</v>
      </c>
      <c r="H151" t="s">
        <v>1388</v>
      </c>
    </row>
    <row r="152" spans="1:8" x14ac:dyDescent="0.25">
      <c r="A152" t="s">
        <v>1080</v>
      </c>
      <c r="B152" t="s">
        <v>937</v>
      </c>
      <c r="C152" t="s">
        <v>938</v>
      </c>
      <c r="D152" t="s">
        <v>14</v>
      </c>
      <c r="E152">
        <v>549426.64</v>
      </c>
      <c r="F152">
        <v>57</v>
      </c>
      <c r="G152">
        <v>31317318.48</v>
      </c>
      <c r="H152" t="s">
        <v>1388</v>
      </c>
    </row>
    <row r="153" spans="1:8" x14ac:dyDescent="0.25">
      <c r="A153" t="s">
        <v>1081</v>
      </c>
      <c r="B153" t="s">
        <v>165</v>
      </c>
      <c r="C153" t="s">
        <v>166</v>
      </c>
      <c r="D153" t="s">
        <v>26</v>
      </c>
      <c r="E153">
        <v>2705340.36</v>
      </c>
      <c r="F153">
        <v>63</v>
      </c>
      <c r="G153">
        <v>170436442.68000001</v>
      </c>
      <c r="H153" t="s">
        <v>1388</v>
      </c>
    </row>
    <row r="154" spans="1:8" x14ac:dyDescent="0.25">
      <c r="A154" t="s">
        <v>1081</v>
      </c>
      <c r="B154" t="s">
        <v>557</v>
      </c>
      <c r="C154" t="s">
        <v>558</v>
      </c>
      <c r="D154" t="s">
        <v>14</v>
      </c>
      <c r="E154">
        <v>522373.8</v>
      </c>
      <c r="F154">
        <v>45</v>
      </c>
      <c r="G154">
        <v>23506821</v>
      </c>
      <c r="H154" t="s">
        <v>1388</v>
      </c>
    </row>
    <row r="155" spans="1:8" x14ac:dyDescent="0.25">
      <c r="A155" t="s">
        <v>1404</v>
      </c>
      <c r="B155" t="s">
        <v>395</v>
      </c>
      <c r="C155" t="s">
        <v>396</v>
      </c>
      <c r="D155" t="s">
        <v>14</v>
      </c>
      <c r="E155">
        <v>197935.73</v>
      </c>
      <c r="F155">
        <v>33</v>
      </c>
      <c r="G155">
        <v>6531879.0899999999</v>
      </c>
      <c r="H155" t="s">
        <v>1388</v>
      </c>
    </row>
    <row r="156" spans="1:8" x14ac:dyDescent="0.25">
      <c r="A156" t="s">
        <v>1404</v>
      </c>
      <c r="B156" t="s">
        <v>701</v>
      </c>
      <c r="C156" t="s">
        <v>702</v>
      </c>
      <c r="D156" t="s">
        <v>19</v>
      </c>
      <c r="E156">
        <v>869988.73</v>
      </c>
      <c r="F156">
        <v>13</v>
      </c>
      <c r="G156">
        <v>11309853.49</v>
      </c>
      <c r="H156" t="s">
        <v>1388</v>
      </c>
    </row>
    <row r="157" spans="1:8" x14ac:dyDescent="0.25">
      <c r="A157" t="s">
        <v>1404</v>
      </c>
      <c r="B157" t="s">
        <v>317</v>
      </c>
      <c r="C157" t="s">
        <v>318</v>
      </c>
      <c r="D157" t="s">
        <v>26</v>
      </c>
      <c r="E157">
        <v>2165893.14</v>
      </c>
      <c r="F157">
        <v>70</v>
      </c>
      <c r="G157">
        <v>151612519.80000001</v>
      </c>
      <c r="H157" t="s">
        <v>1388</v>
      </c>
    </row>
    <row r="158" spans="1:8" x14ac:dyDescent="0.25">
      <c r="A158" t="s">
        <v>1404</v>
      </c>
      <c r="B158" t="s">
        <v>329</v>
      </c>
      <c r="C158" t="s">
        <v>330</v>
      </c>
      <c r="D158" t="s">
        <v>26</v>
      </c>
      <c r="E158">
        <v>3454058.99</v>
      </c>
      <c r="F158">
        <v>44</v>
      </c>
      <c r="G158">
        <v>151978595.56</v>
      </c>
      <c r="H158" t="s">
        <v>1388</v>
      </c>
    </row>
    <row r="159" spans="1:8" x14ac:dyDescent="0.25">
      <c r="A159" t="s">
        <v>1083</v>
      </c>
      <c r="B159" t="s">
        <v>413</v>
      </c>
      <c r="C159" t="s">
        <v>414</v>
      </c>
      <c r="D159" t="s">
        <v>14</v>
      </c>
      <c r="E159">
        <v>1034520.13</v>
      </c>
      <c r="F159">
        <v>17</v>
      </c>
      <c r="G159">
        <v>17586842.210000001</v>
      </c>
      <c r="H159" t="s">
        <v>1388</v>
      </c>
    </row>
    <row r="160" spans="1:8" x14ac:dyDescent="0.25">
      <c r="A160" t="s">
        <v>1083</v>
      </c>
      <c r="B160" t="s">
        <v>107</v>
      </c>
      <c r="C160" t="s">
        <v>108</v>
      </c>
      <c r="D160" t="s">
        <v>26</v>
      </c>
      <c r="E160">
        <v>2350126.09</v>
      </c>
      <c r="F160">
        <v>24</v>
      </c>
      <c r="G160">
        <v>56403026.159999996</v>
      </c>
      <c r="H160" t="s">
        <v>1388</v>
      </c>
    </row>
    <row r="161" spans="1:8" x14ac:dyDescent="0.25">
      <c r="A161" t="s">
        <v>1083</v>
      </c>
      <c r="B161" t="s">
        <v>265</v>
      </c>
      <c r="C161" t="s">
        <v>266</v>
      </c>
      <c r="D161" t="s">
        <v>14</v>
      </c>
      <c r="E161">
        <v>717225.05</v>
      </c>
      <c r="F161">
        <v>50</v>
      </c>
      <c r="G161">
        <v>35861252.5</v>
      </c>
      <c r="H161" t="s">
        <v>1388</v>
      </c>
    </row>
    <row r="162" spans="1:8" x14ac:dyDescent="0.25">
      <c r="A162" t="s">
        <v>1083</v>
      </c>
      <c r="B162" t="s">
        <v>139</v>
      </c>
      <c r="C162" t="s">
        <v>140</v>
      </c>
      <c r="D162" t="s">
        <v>26</v>
      </c>
      <c r="E162">
        <v>3305433.12</v>
      </c>
      <c r="F162">
        <v>23</v>
      </c>
      <c r="G162">
        <v>76024961.760000005</v>
      </c>
      <c r="H162" t="s">
        <v>1388</v>
      </c>
    </row>
    <row r="163" spans="1:8" x14ac:dyDescent="0.25">
      <c r="A163" t="s">
        <v>1084</v>
      </c>
      <c r="B163" t="s">
        <v>867</v>
      </c>
      <c r="C163" t="s">
        <v>868</v>
      </c>
      <c r="D163" t="s">
        <v>10</v>
      </c>
      <c r="E163">
        <v>1226120.93</v>
      </c>
      <c r="F163">
        <v>30</v>
      </c>
      <c r="G163">
        <v>36783627.899999999</v>
      </c>
      <c r="H163" t="s">
        <v>1388</v>
      </c>
    </row>
    <row r="164" spans="1:8" x14ac:dyDescent="0.25">
      <c r="A164" t="s">
        <v>1085</v>
      </c>
      <c r="B164" t="s">
        <v>439</v>
      </c>
      <c r="C164" t="s">
        <v>440</v>
      </c>
      <c r="D164" t="s">
        <v>14</v>
      </c>
      <c r="E164">
        <v>1019519.69</v>
      </c>
      <c r="F164">
        <v>9</v>
      </c>
      <c r="G164">
        <v>9175677.2100000009</v>
      </c>
      <c r="H164" t="s">
        <v>1388</v>
      </c>
    </row>
    <row r="165" spans="1:8" x14ac:dyDescent="0.25">
      <c r="A165" t="s">
        <v>1085</v>
      </c>
      <c r="B165" t="s">
        <v>967</v>
      </c>
      <c r="C165" t="s">
        <v>968</v>
      </c>
      <c r="D165" t="s">
        <v>19</v>
      </c>
      <c r="E165">
        <v>153808.20000000001</v>
      </c>
      <c r="F165">
        <v>76</v>
      </c>
      <c r="G165">
        <v>11689423.199999999</v>
      </c>
      <c r="H165" t="s">
        <v>1388</v>
      </c>
    </row>
    <row r="166" spans="1:8" x14ac:dyDescent="0.25">
      <c r="A166" t="s">
        <v>1086</v>
      </c>
      <c r="B166" t="s">
        <v>41</v>
      </c>
      <c r="C166" t="s">
        <v>42</v>
      </c>
      <c r="D166" t="s">
        <v>26</v>
      </c>
      <c r="E166">
        <v>3332963.55</v>
      </c>
      <c r="F166">
        <v>13</v>
      </c>
      <c r="G166">
        <v>43328526.149999999</v>
      </c>
      <c r="H166" t="s">
        <v>1388</v>
      </c>
    </row>
    <row r="167" spans="1:8" x14ac:dyDescent="0.25">
      <c r="A167" t="s">
        <v>1086</v>
      </c>
      <c r="B167" t="s">
        <v>815</v>
      </c>
      <c r="C167" t="s">
        <v>816</v>
      </c>
      <c r="D167" t="s">
        <v>10</v>
      </c>
      <c r="E167">
        <v>1275950.3799999999</v>
      </c>
      <c r="F167">
        <v>18</v>
      </c>
      <c r="G167">
        <v>22967106.84</v>
      </c>
      <c r="H167" t="s">
        <v>1388</v>
      </c>
    </row>
    <row r="168" spans="1:8" x14ac:dyDescent="0.25">
      <c r="A168" t="s">
        <v>1087</v>
      </c>
      <c r="B168" t="s">
        <v>39</v>
      </c>
      <c r="C168" t="s">
        <v>40</v>
      </c>
      <c r="D168" t="s">
        <v>19</v>
      </c>
      <c r="E168">
        <v>188742.82</v>
      </c>
      <c r="F168">
        <v>8</v>
      </c>
      <c r="G168">
        <v>1509942.56</v>
      </c>
      <c r="H168" t="s">
        <v>1388</v>
      </c>
    </row>
    <row r="169" spans="1:8" x14ac:dyDescent="0.25">
      <c r="A169" t="s">
        <v>1088</v>
      </c>
      <c r="B169" t="s">
        <v>247</v>
      </c>
      <c r="C169" t="s">
        <v>248</v>
      </c>
      <c r="D169" t="s">
        <v>14</v>
      </c>
      <c r="E169">
        <v>423612.29</v>
      </c>
      <c r="F169">
        <v>76</v>
      </c>
      <c r="G169">
        <v>32194534.039999999</v>
      </c>
      <c r="H169" t="s">
        <v>1388</v>
      </c>
    </row>
    <row r="170" spans="1:8" x14ac:dyDescent="0.25">
      <c r="A170" t="s">
        <v>1088</v>
      </c>
      <c r="B170" t="s">
        <v>135</v>
      </c>
      <c r="C170" t="s">
        <v>136</v>
      </c>
      <c r="D170" t="s">
        <v>14</v>
      </c>
      <c r="E170">
        <v>1286057.48</v>
      </c>
      <c r="F170">
        <v>48</v>
      </c>
      <c r="G170">
        <v>61730759.039999999</v>
      </c>
      <c r="H170" t="s">
        <v>1388</v>
      </c>
    </row>
    <row r="171" spans="1:8" x14ac:dyDescent="0.25">
      <c r="A171" t="s">
        <v>1088</v>
      </c>
      <c r="B171" t="s">
        <v>61</v>
      </c>
      <c r="C171" t="s">
        <v>62</v>
      </c>
      <c r="D171" t="s">
        <v>10</v>
      </c>
      <c r="E171">
        <v>432953.94</v>
      </c>
      <c r="F171">
        <v>73</v>
      </c>
      <c r="G171">
        <v>31605637.620000001</v>
      </c>
      <c r="H171" t="s">
        <v>1388</v>
      </c>
    </row>
    <row r="172" spans="1:8" x14ac:dyDescent="0.25">
      <c r="A172" t="s">
        <v>1089</v>
      </c>
      <c r="B172" t="s">
        <v>149</v>
      </c>
      <c r="C172" t="s">
        <v>150</v>
      </c>
      <c r="D172" t="s">
        <v>10</v>
      </c>
      <c r="E172">
        <v>351668.17</v>
      </c>
      <c r="F172">
        <v>45</v>
      </c>
      <c r="G172">
        <v>15825067.65</v>
      </c>
      <c r="H172" t="s">
        <v>1388</v>
      </c>
    </row>
    <row r="173" spans="1:8" x14ac:dyDescent="0.25">
      <c r="A173" t="s">
        <v>1089</v>
      </c>
      <c r="B173" t="s">
        <v>533</v>
      </c>
      <c r="C173" t="s">
        <v>534</v>
      </c>
      <c r="D173" t="s">
        <v>26</v>
      </c>
      <c r="E173">
        <v>1686009.78</v>
      </c>
      <c r="F173">
        <v>26</v>
      </c>
      <c r="G173">
        <v>43836254.280000001</v>
      </c>
      <c r="H173" t="s">
        <v>1388</v>
      </c>
    </row>
    <row r="174" spans="1:8" x14ac:dyDescent="0.25">
      <c r="A174" t="s">
        <v>1089</v>
      </c>
      <c r="B174" t="s">
        <v>247</v>
      </c>
      <c r="C174" t="s">
        <v>248</v>
      </c>
      <c r="D174" t="s">
        <v>14</v>
      </c>
      <c r="E174">
        <v>442114.23</v>
      </c>
      <c r="F174">
        <v>24</v>
      </c>
      <c r="G174">
        <v>10610741.52</v>
      </c>
      <c r="H174" t="s">
        <v>1388</v>
      </c>
    </row>
    <row r="175" spans="1:8" x14ac:dyDescent="0.25">
      <c r="A175" t="s">
        <v>1090</v>
      </c>
      <c r="B175" t="s">
        <v>965</v>
      </c>
      <c r="C175" t="s">
        <v>966</v>
      </c>
      <c r="D175" t="s">
        <v>10</v>
      </c>
      <c r="E175">
        <v>771460.86</v>
      </c>
      <c r="F175">
        <v>7</v>
      </c>
      <c r="G175">
        <v>5400226.0199999996</v>
      </c>
      <c r="H175" t="s">
        <v>1388</v>
      </c>
    </row>
    <row r="176" spans="1:8" x14ac:dyDescent="0.25">
      <c r="A176" t="s">
        <v>1090</v>
      </c>
      <c r="B176" t="s">
        <v>525</v>
      </c>
      <c r="C176" t="s">
        <v>526</v>
      </c>
      <c r="D176" t="s">
        <v>10</v>
      </c>
      <c r="E176">
        <v>1430166.61</v>
      </c>
      <c r="F176">
        <v>63</v>
      </c>
      <c r="G176">
        <v>90100496.430000007</v>
      </c>
      <c r="H176" t="s">
        <v>1388</v>
      </c>
    </row>
    <row r="177" spans="1:8" x14ac:dyDescent="0.25">
      <c r="A177" t="s">
        <v>1090</v>
      </c>
      <c r="B177" t="s">
        <v>665</v>
      </c>
      <c r="C177" t="s">
        <v>666</v>
      </c>
      <c r="D177" t="s">
        <v>10</v>
      </c>
      <c r="E177">
        <v>456585.44</v>
      </c>
      <c r="F177">
        <v>24</v>
      </c>
      <c r="G177">
        <v>10958050.560000001</v>
      </c>
      <c r="H177" t="s">
        <v>1388</v>
      </c>
    </row>
    <row r="178" spans="1:8" x14ac:dyDescent="0.25">
      <c r="A178" t="s">
        <v>1090</v>
      </c>
      <c r="B178" t="s">
        <v>843</v>
      </c>
      <c r="C178" t="s">
        <v>844</v>
      </c>
      <c r="D178" t="s">
        <v>26</v>
      </c>
      <c r="E178">
        <v>2034465.98</v>
      </c>
      <c r="F178">
        <v>35</v>
      </c>
      <c r="G178">
        <v>71206309.299999997</v>
      </c>
      <c r="H178" t="s">
        <v>1388</v>
      </c>
    </row>
    <row r="179" spans="1:8" x14ac:dyDescent="0.25">
      <c r="A179" t="s">
        <v>1090</v>
      </c>
      <c r="B179" t="s">
        <v>357</v>
      </c>
      <c r="C179" t="s">
        <v>358</v>
      </c>
      <c r="D179" t="s">
        <v>19</v>
      </c>
      <c r="E179">
        <v>431250.7</v>
      </c>
      <c r="F179">
        <v>15</v>
      </c>
      <c r="G179">
        <v>6468760.5</v>
      </c>
      <c r="H179" t="s">
        <v>1388</v>
      </c>
    </row>
    <row r="180" spans="1:8" x14ac:dyDescent="0.25">
      <c r="A180" t="s">
        <v>1405</v>
      </c>
      <c r="B180" t="s">
        <v>741</v>
      </c>
      <c r="C180" t="s">
        <v>742</v>
      </c>
      <c r="D180" t="s">
        <v>19</v>
      </c>
      <c r="E180">
        <v>786762.46</v>
      </c>
      <c r="F180">
        <v>60</v>
      </c>
      <c r="G180">
        <v>47205747.600000001</v>
      </c>
      <c r="H180" t="s">
        <v>1388</v>
      </c>
    </row>
    <row r="181" spans="1:8" x14ac:dyDescent="0.25">
      <c r="A181" t="s">
        <v>1091</v>
      </c>
      <c r="B181" t="s">
        <v>431</v>
      </c>
      <c r="C181" t="s">
        <v>432</v>
      </c>
      <c r="D181" t="s">
        <v>26</v>
      </c>
      <c r="E181">
        <v>1161605.3400000001</v>
      </c>
      <c r="F181">
        <v>47</v>
      </c>
      <c r="G181">
        <v>54595450.979999997</v>
      </c>
      <c r="H181" t="s">
        <v>1388</v>
      </c>
    </row>
    <row r="182" spans="1:8" x14ac:dyDescent="0.25">
      <c r="A182" t="s">
        <v>1091</v>
      </c>
      <c r="B182" t="s">
        <v>741</v>
      </c>
      <c r="C182" t="s">
        <v>742</v>
      </c>
      <c r="D182" t="s">
        <v>19</v>
      </c>
      <c r="E182">
        <v>819025.69</v>
      </c>
      <c r="F182">
        <v>63</v>
      </c>
      <c r="G182">
        <v>51598618.469999999</v>
      </c>
      <c r="H182" t="s">
        <v>1388</v>
      </c>
    </row>
    <row r="183" spans="1:8" x14ac:dyDescent="0.25">
      <c r="A183" t="s">
        <v>1092</v>
      </c>
      <c r="B183" t="s">
        <v>937</v>
      </c>
      <c r="C183" t="s">
        <v>938</v>
      </c>
      <c r="D183" t="s">
        <v>14</v>
      </c>
      <c r="E183">
        <v>576656.46</v>
      </c>
      <c r="F183">
        <v>72</v>
      </c>
      <c r="G183">
        <v>41519265.119999997</v>
      </c>
      <c r="H183" t="s">
        <v>1388</v>
      </c>
    </row>
    <row r="184" spans="1:8" x14ac:dyDescent="0.25">
      <c r="A184" t="s">
        <v>1406</v>
      </c>
      <c r="B184" t="s">
        <v>587</v>
      </c>
      <c r="C184" t="s">
        <v>588</v>
      </c>
      <c r="D184" t="s">
        <v>14</v>
      </c>
      <c r="E184">
        <v>901407.5</v>
      </c>
      <c r="F184">
        <v>57</v>
      </c>
      <c r="G184">
        <v>51380227.5</v>
      </c>
      <c r="H184" t="s">
        <v>1388</v>
      </c>
    </row>
    <row r="185" spans="1:8" x14ac:dyDescent="0.25">
      <c r="A185" t="s">
        <v>1093</v>
      </c>
      <c r="B185" t="s">
        <v>593</v>
      </c>
      <c r="C185" t="s">
        <v>594</v>
      </c>
      <c r="D185" t="s">
        <v>19</v>
      </c>
      <c r="E185">
        <v>606885.67000000004</v>
      </c>
      <c r="F185">
        <v>35</v>
      </c>
      <c r="G185">
        <v>21240998.449999999</v>
      </c>
      <c r="H185" t="s">
        <v>1388</v>
      </c>
    </row>
    <row r="186" spans="1:8" x14ac:dyDescent="0.25">
      <c r="A186" t="s">
        <v>1093</v>
      </c>
      <c r="B186" t="s">
        <v>319</v>
      </c>
      <c r="C186" t="s">
        <v>320</v>
      </c>
      <c r="D186" t="s">
        <v>14</v>
      </c>
      <c r="E186">
        <v>1117133.57</v>
      </c>
      <c r="F186">
        <v>41</v>
      </c>
      <c r="G186">
        <v>45802476.369999997</v>
      </c>
      <c r="H186" t="s">
        <v>1388</v>
      </c>
    </row>
    <row r="187" spans="1:8" x14ac:dyDescent="0.25">
      <c r="A187" t="s">
        <v>1094</v>
      </c>
      <c r="B187" t="s">
        <v>633</v>
      </c>
      <c r="C187" t="s">
        <v>634</v>
      </c>
      <c r="D187" t="s">
        <v>14</v>
      </c>
      <c r="E187">
        <v>731380.57</v>
      </c>
      <c r="F187">
        <v>53</v>
      </c>
      <c r="G187">
        <v>38763170.210000001</v>
      </c>
      <c r="H187" t="s">
        <v>1388</v>
      </c>
    </row>
    <row r="188" spans="1:8" x14ac:dyDescent="0.25">
      <c r="A188" t="s">
        <v>1094</v>
      </c>
      <c r="B188" t="s">
        <v>24</v>
      </c>
      <c r="C188" t="s">
        <v>25</v>
      </c>
      <c r="D188" t="s">
        <v>26</v>
      </c>
      <c r="E188">
        <v>2179294.62</v>
      </c>
      <c r="F188">
        <v>46</v>
      </c>
      <c r="G188">
        <v>100247552.52</v>
      </c>
      <c r="H188" t="s">
        <v>1388</v>
      </c>
    </row>
    <row r="189" spans="1:8" x14ac:dyDescent="0.25">
      <c r="A189" t="s">
        <v>1094</v>
      </c>
      <c r="B189" t="s">
        <v>805</v>
      </c>
      <c r="C189" t="s">
        <v>806</v>
      </c>
      <c r="D189" t="s">
        <v>26</v>
      </c>
      <c r="E189">
        <v>3142946.86</v>
      </c>
      <c r="F189">
        <v>9</v>
      </c>
      <c r="G189">
        <v>28286521.739999998</v>
      </c>
      <c r="H189" t="s">
        <v>1388</v>
      </c>
    </row>
    <row r="190" spans="1:8" x14ac:dyDescent="0.25">
      <c r="A190" t="s">
        <v>1094</v>
      </c>
      <c r="B190" t="s">
        <v>541</v>
      </c>
      <c r="C190" t="s">
        <v>542</v>
      </c>
      <c r="D190" t="s">
        <v>10</v>
      </c>
      <c r="E190">
        <v>241212.7</v>
      </c>
      <c r="F190">
        <v>36</v>
      </c>
      <c r="G190">
        <v>8683657.1999999993</v>
      </c>
      <c r="H190" t="s">
        <v>1388</v>
      </c>
    </row>
    <row r="191" spans="1:8" x14ac:dyDescent="0.25">
      <c r="A191" t="s">
        <v>1095</v>
      </c>
      <c r="B191" t="s">
        <v>935</v>
      </c>
      <c r="C191" t="s">
        <v>936</v>
      </c>
      <c r="D191" t="s">
        <v>14</v>
      </c>
      <c r="E191">
        <v>81507.83</v>
      </c>
      <c r="F191">
        <v>43</v>
      </c>
      <c r="G191">
        <v>3504836.69</v>
      </c>
      <c r="H191" t="s">
        <v>1388</v>
      </c>
    </row>
    <row r="192" spans="1:8" x14ac:dyDescent="0.25">
      <c r="A192" t="s">
        <v>1095</v>
      </c>
      <c r="B192" t="s">
        <v>677</v>
      </c>
      <c r="C192" t="s">
        <v>678</v>
      </c>
      <c r="D192" t="s">
        <v>26</v>
      </c>
      <c r="E192">
        <v>513840.59</v>
      </c>
      <c r="F192">
        <v>9</v>
      </c>
      <c r="G192">
        <v>4624565.3099999996</v>
      </c>
      <c r="H192" t="s">
        <v>1388</v>
      </c>
    </row>
    <row r="193" spans="1:8" x14ac:dyDescent="0.25">
      <c r="A193" t="s">
        <v>1096</v>
      </c>
      <c r="B193" t="s">
        <v>911</v>
      </c>
      <c r="C193" t="s">
        <v>912</v>
      </c>
      <c r="D193" t="s">
        <v>14</v>
      </c>
      <c r="E193">
        <v>103435.23</v>
      </c>
      <c r="F193">
        <v>17</v>
      </c>
      <c r="G193">
        <v>1758398.91</v>
      </c>
      <c r="H193" t="s">
        <v>1388</v>
      </c>
    </row>
    <row r="194" spans="1:8" x14ac:dyDescent="0.25">
      <c r="A194" t="s">
        <v>1097</v>
      </c>
      <c r="B194" t="s">
        <v>495</v>
      </c>
      <c r="C194" t="s">
        <v>496</v>
      </c>
      <c r="D194" t="s">
        <v>10</v>
      </c>
      <c r="E194">
        <v>379833.96</v>
      </c>
      <c r="F194">
        <v>9</v>
      </c>
      <c r="G194">
        <v>3418505.64</v>
      </c>
      <c r="H194" t="s">
        <v>1388</v>
      </c>
    </row>
    <row r="195" spans="1:8" x14ac:dyDescent="0.25">
      <c r="A195" t="s">
        <v>1097</v>
      </c>
      <c r="B195" t="s">
        <v>801</v>
      </c>
      <c r="C195" t="s">
        <v>802</v>
      </c>
      <c r="D195" t="s">
        <v>14</v>
      </c>
      <c r="E195">
        <v>665803.67000000004</v>
      </c>
      <c r="F195">
        <v>9</v>
      </c>
      <c r="G195">
        <v>5992233.0300000003</v>
      </c>
      <c r="H195" t="s">
        <v>1388</v>
      </c>
    </row>
    <row r="196" spans="1:8" x14ac:dyDescent="0.25">
      <c r="A196" t="s">
        <v>1098</v>
      </c>
      <c r="B196" t="s">
        <v>425</v>
      </c>
      <c r="C196" t="s">
        <v>426</v>
      </c>
      <c r="D196" t="s">
        <v>14</v>
      </c>
      <c r="E196">
        <v>727329.67</v>
      </c>
      <c r="F196">
        <v>80</v>
      </c>
      <c r="G196">
        <v>58186373.600000001</v>
      </c>
      <c r="H196" t="s">
        <v>1388</v>
      </c>
    </row>
    <row r="197" spans="1:8" x14ac:dyDescent="0.25">
      <c r="A197" t="s">
        <v>1098</v>
      </c>
      <c r="B197" t="s">
        <v>41</v>
      </c>
      <c r="C197" t="s">
        <v>42</v>
      </c>
      <c r="D197" t="s">
        <v>26</v>
      </c>
      <c r="E197">
        <v>3309644.8</v>
      </c>
      <c r="F197">
        <v>13</v>
      </c>
      <c r="G197">
        <v>43025382.399999999</v>
      </c>
      <c r="H197" t="s">
        <v>1388</v>
      </c>
    </row>
    <row r="198" spans="1:8" x14ac:dyDescent="0.25">
      <c r="A198" t="s">
        <v>1099</v>
      </c>
      <c r="B198" t="s">
        <v>731</v>
      </c>
      <c r="C198" t="s">
        <v>732</v>
      </c>
      <c r="D198" t="s">
        <v>26</v>
      </c>
      <c r="E198">
        <v>1591409.3</v>
      </c>
      <c r="F198">
        <v>42</v>
      </c>
      <c r="G198">
        <v>66839190.600000001</v>
      </c>
      <c r="H198" t="s">
        <v>1388</v>
      </c>
    </row>
    <row r="199" spans="1:8" x14ac:dyDescent="0.25">
      <c r="A199" t="s">
        <v>1099</v>
      </c>
      <c r="B199" t="s">
        <v>77</v>
      </c>
      <c r="C199" t="s">
        <v>78</v>
      </c>
      <c r="D199" t="s">
        <v>10</v>
      </c>
      <c r="E199">
        <v>637983.57999999996</v>
      </c>
      <c r="F199">
        <v>66</v>
      </c>
      <c r="G199">
        <v>42106916.280000001</v>
      </c>
      <c r="H199" t="s">
        <v>1388</v>
      </c>
    </row>
    <row r="200" spans="1:8" x14ac:dyDescent="0.25">
      <c r="A200" t="s">
        <v>1099</v>
      </c>
      <c r="B200" t="s">
        <v>409</v>
      </c>
      <c r="C200" t="s">
        <v>410</v>
      </c>
      <c r="D200" t="s">
        <v>10</v>
      </c>
      <c r="E200">
        <v>1310181.6399999999</v>
      </c>
      <c r="F200">
        <v>19</v>
      </c>
      <c r="G200">
        <v>24893451.16</v>
      </c>
      <c r="H200" t="s">
        <v>1388</v>
      </c>
    </row>
    <row r="201" spans="1:8" x14ac:dyDescent="0.25">
      <c r="A201" t="s">
        <v>1099</v>
      </c>
      <c r="B201" t="s">
        <v>143</v>
      </c>
      <c r="C201" t="s">
        <v>144</v>
      </c>
      <c r="D201" t="s">
        <v>10</v>
      </c>
      <c r="E201">
        <v>258233.67</v>
      </c>
      <c r="F201">
        <v>30</v>
      </c>
      <c r="G201">
        <v>7747010.0999999996</v>
      </c>
      <c r="H201" t="s">
        <v>1388</v>
      </c>
    </row>
    <row r="202" spans="1:8" x14ac:dyDescent="0.25">
      <c r="A202" t="s">
        <v>1100</v>
      </c>
      <c r="B202" t="s">
        <v>147</v>
      </c>
      <c r="C202" t="s">
        <v>148</v>
      </c>
      <c r="D202" t="s">
        <v>19</v>
      </c>
      <c r="E202">
        <v>1121388.78</v>
      </c>
      <c r="F202">
        <v>37</v>
      </c>
      <c r="G202">
        <v>41491384.859999999</v>
      </c>
      <c r="H202" t="s">
        <v>1388</v>
      </c>
    </row>
    <row r="203" spans="1:8" x14ac:dyDescent="0.25">
      <c r="A203" t="s">
        <v>1100</v>
      </c>
      <c r="B203" t="s">
        <v>299</v>
      </c>
      <c r="C203" t="s">
        <v>300</v>
      </c>
      <c r="D203" t="s">
        <v>19</v>
      </c>
      <c r="E203">
        <v>235955.95</v>
      </c>
      <c r="F203">
        <v>5</v>
      </c>
      <c r="G203">
        <v>1179779.75</v>
      </c>
      <c r="H203" t="s">
        <v>1388</v>
      </c>
    </row>
    <row r="204" spans="1:8" x14ac:dyDescent="0.25">
      <c r="A204" t="s">
        <v>1100</v>
      </c>
      <c r="B204" t="s">
        <v>753</v>
      </c>
      <c r="C204" t="s">
        <v>754</v>
      </c>
      <c r="D204" t="s">
        <v>26</v>
      </c>
      <c r="E204">
        <v>464937.46</v>
      </c>
      <c r="F204">
        <v>34</v>
      </c>
      <c r="G204">
        <v>15807873.640000001</v>
      </c>
      <c r="H204" t="s">
        <v>1388</v>
      </c>
    </row>
    <row r="205" spans="1:8" x14ac:dyDescent="0.25">
      <c r="A205" t="s">
        <v>1102</v>
      </c>
      <c r="B205" t="s">
        <v>269</v>
      </c>
      <c r="C205" t="s">
        <v>270</v>
      </c>
      <c r="D205" t="s">
        <v>26</v>
      </c>
      <c r="E205">
        <v>3925539.07</v>
      </c>
      <c r="F205">
        <v>36</v>
      </c>
      <c r="G205">
        <v>141319406.52000001</v>
      </c>
      <c r="H205" t="s">
        <v>1388</v>
      </c>
    </row>
    <row r="206" spans="1:8" x14ac:dyDescent="0.25">
      <c r="A206" t="s">
        <v>1102</v>
      </c>
      <c r="B206" t="s">
        <v>327</v>
      </c>
      <c r="C206" t="s">
        <v>328</v>
      </c>
      <c r="D206" t="s">
        <v>26</v>
      </c>
      <c r="E206">
        <v>3734056.37</v>
      </c>
      <c r="F206">
        <v>60</v>
      </c>
      <c r="G206">
        <v>224043382.19999999</v>
      </c>
      <c r="H206" t="s">
        <v>1388</v>
      </c>
    </row>
    <row r="207" spans="1:8" x14ac:dyDescent="0.25">
      <c r="A207" t="s">
        <v>1103</v>
      </c>
      <c r="B207" t="s">
        <v>205</v>
      </c>
      <c r="C207" t="s">
        <v>206</v>
      </c>
      <c r="D207" t="s">
        <v>26</v>
      </c>
      <c r="E207">
        <v>946602.75</v>
      </c>
      <c r="F207">
        <v>12</v>
      </c>
      <c r="G207">
        <v>11359233</v>
      </c>
      <c r="H207" t="s">
        <v>1388</v>
      </c>
    </row>
    <row r="208" spans="1:8" x14ac:dyDescent="0.25">
      <c r="A208" t="s">
        <v>1103</v>
      </c>
      <c r="B208" t="s">
        <v>167</v>
      </c>
      <c r="C208" t="s">
        <v>168</v>
      </c>
      <c r="D208" t="s">
        <v>19</v>
      </c>
      <c r="E208">
        <v>209842.93</v>
      </c>
      <c r="F208">
        <v>3</v>
      </c>
      <c r="G208">
        <v>629528.79</v>
      </c>
      <c r="H208" t="s">
        <v>1388</v>
      </c>
    </row>
    <row r="209" spans="1:8" x14ac:dyDescent="0.25">
      <c r="A209" t="s">
        <v>1104</v>
      </c>
      <c r="B209" t="s">
        <v>377</v>
      </c>
      <c r="C209" t="s">
        <v>378</v>
      </c>
      <c r="D209" t="s">
        <v>26</v>
      </c>
      <c r="E209">
        <v>3537531.46</v>
      </c>
      <c r="F209">
        <v>45</v>
      </c>
      <c r="G209">
        <v>159188915.69999999</v>
      </c>
      <c r="H209" t="s">
        <v>1388</v>
      </c>
    </row>
    <row r="210" spans="1:8" x14ac:dyDescent="0.25">
      <c r="A210" t="s">
        <v>1104</v>
      </c>
      <c r="B210" t="s">
        <v>89</v>
      </c>
      <c r="C210" t="s">
        <v>90</v>
      </c>
      <c r="D210" t="s">
        <v>26</v>
      </c>
      <c r="E210">
        <v>1116892.49</v>
      </c>
      <c r="F210">
        <v>1</v>
      </c>
      <c r="G210">
        <v>1116892.49</v>
      </c>
      <c r="H210" t="s">
        <v>1388</v>
      </c>
    </row>
    <row r="211" spans="1:8" x14ac:dyDescent="0.25">
      <c r="A211" t="s">
        <v>1104</v>
      </c>
      <c r="B211" t="s">
        <v>561</v>
      </c>
      <c r="C211" t="s">
        <v>562</v>
      </c>
      <c r="D211" t="s">
        <v>19</v>
      </c>
      <c r="E211">
        <v>1643208.45</v>
      </c>
      <c r="F211">
        <v>14</v>
      </c>
      <c r="G211">
        <v>23004918.300000001</v>
      </c>
      <c r="H211" t="s">
        <v>1388</v>
      </c>
    </row>
    <row r="212" spans="1:8" x14ac:dyDescent="0.25">
      <c r="A212" t="s">
        <v>1105</v>
      </c>
      <c r="B212" t="s">
        <v>375</v>
      </c>
      <c r="C212" t="s">
        <v>376</v>
      </c>
      <c r="D212" t="s">
        <v>10</v>
      </c>
      <c r="E212">
        <v>1347845.46</v>
      </c>
      <c r="F212">
        <v>49</v>
      </c>
      <c r="G212">
        <v>66044427.539999999</v>
      </c>
      <c r="H212" t="s">
        <v>1388</v>
      </c>
    </row>
    <row r="213" spans="1:8" x14ac:dyDescent="0.25">
      <c r="A213" t="s">
        <v>1105</v>
      </c>
      <c r="B213" t="s">
        <v>311</v>
      </c>
      <c r="C213" t="s">
        <v>312</v>
      </c>
      <c r="D213" t="s">
        <v>26</v>
      </c>
      <c r="E213">
        <v>1838239.89</v>
      </c>
      <c r="F213">
        <v>45</v>
      </c>
      <c r="G213">
        <v>82720795.049999997</v>
      </c>
      <c r="H213" t="s">
        <v>1388</v>
      </c>
    </row>
    <row r="214" spans="1:8" x14ac:dyDescent="0.25">
      <c r="A214" t="s">
        <v>1106</v>
      </c>
      <c r="B214" t="s">
        <v>997</v>
      </c>
      <c r="C214" t="s">
        <v>998</v>
      </c>
      <c r="D214" t="s">
        <v>10</v>
      </c>
      <c r="E214">
        <v>541944.93999999994</v>
      </c>
      <c r="F214">
        <v>47</v>
      </c>
      <c r="G214">
        <v>25471412.18</v>
      </c>
      <c r="H214" t="s">
        <v>1388</v>
      </c>
    </row>
    <row r="215" spans="1:8" x14ac:dyDescent="0.25">
      <c r="A215" t="s">
        <v>1106</v>
      </c>
      <c r="B215" t="s">
        <v>567</v>
      </c>
      <c r="C215" t="s">
        <v>568</v>
      </c>
      <c r="D215" t="s">
        <v>26</v>
      </c>
      <c r="E215">
        <v>606127.47</v>
      </c>
      <c r="F215">
        <v>34</v>
      </c>
      <c r="G215">
        <v>20608333.98</v>
      </c>
      <c r="H215" t="s">
        <v>1388</v>
      </c>
    </row>
    <row r="216" spans="1:8" x14ac:dyDescent="0.25">
      <c r="A216" t="s">
        <v>1107</v>
      </c>
      <c r="B216" t="s">
        <v>297</v>
      </c>
      <c r="C216" t="s">
        <v>298</v>
      </c>
      <c r="D216" t="s">
        <v>10</v>
      </c>
      <c r="E216">
        <v>1253455.8999999999</v>
      </c>
      <c r="F216">
        <v>53</v>
      </c>
      <c r="G216">
        <v>66433162.700000003</v>
      </c>
      <c r="H216" t="s">
        <v>1388</v>
      </c>
    </row>
    <row r="217" spans="1:8" x14ac:dyDescent="0.25">
      <c r="A217" t="s">
        <v>1107</v>
      </c>
      <c r="B217" t="s">
        <v>175</v>
      </c>
      <c r="C217" t="s">
        <v>176</v>
      </c>
      <c r="D217" t="s">
        <v>14</v>
      </c>
      <c r="E217">
        <v>974393.74</v>
      </c>
      <c r="F217">
        <v>63</v>
      </c>
      <c r="G217">
        <v>61386805.619999997</v>
      </c>
      <c r="H217" t="s">
        <v>1388</v>
      </c>
    </row>
    <row r="218" spans="1:8" x14ac:dyDescent="0.25">
      <c r="A218" t="s">
        <v>1108</v>
      </c>
      <c r="B218" t="s">
        <v>665</v>
      </c>
      <c r="C218" t="s">
        <v>666</v>
      </c>
      <c r="D218" t="s">
        <v>10</v>
      </c>
      <c r="E218">
        <v>505304.46</v>
      </c>
      <c r="F218">
        <v>21</v>
      </c>
      <c r="G218">
        <v>10611393.66</v>
      </c>
      <c r="H218" t="s">
        <v>1388</v>
      </c>
    </row>
    <row r="219" spans="1:8" x14ac:dyDescent="0.25">
      <c r="A219" t="s">
        <v>1109</v>
      </c>
      <c r="B219" t="s">
        <v>233</v>
      </c>
      <c r="C219" t="s">
        <v>234</v>
      </c>
      <c r="D219" t="s">
        <v>26</v>
      </c>
      <c r="E219">
        <v>3287100.59</v>
      </c>
      <c r="F219">
        <v>17</v>
      </c>
      <c r="G219">
        <v>55880710.030000001</v>
      </c>
      <c r="H219" t="s">
        <v>1388</v>
      </c>
    </row>
    <row r="220" spans="1:8" x14ac:dyDescent="0.25">
      <c r="A220" t="s">
        <v>1109</v>
      </c>
      <c r="B220" t="s">
        <v>243</v>
      </c>
      <c r="C220" t="s">
        <v>244</v>
      </c>
      <c r="D220" t="s">
        <v>14</v>
      </c>
      <c r="E220">
        <v>418259.86</v>
      </c>
      <c r="F220">
        <v>5</v>
      </c>
      <c r="G220">
        <v>2091299.3</v>
      </c>
      <c r="H220" t="s">
        <v>1388</v>
      </c>
    </row>
    <row r="221" spans="1:8" x14ac:dyDescent="0.25">
      <c r="A221" t="s">
        <v>1110</v>
      </c>
      <c r="B221" t="s">
        <v>149</v>
      </c>
      <c r="C221" t="s">
        <v>150</v>
      </c>
      <c r="D221" t="s">
        <v>10</v>
      </c>
      <c r="E221">
        <v>347851.34</v>
      </c>
      <c r="F221">
        <v>8</v>
      </c>
      <c r="G221">
        <v>2782810.72</v>
      </c>
      <c r="H221" t="s">
        <v>1388</v>
      </c>
    </row>
    <row r="222" spans="1:8" x14ac:dyDescent="0.25">
      <c r="A222" t="s">
        <v>1110</v>
      </c>
      <c r="B222" t="s">
        <v>579</v>
      </c>
      <c r="C222" t="s">
        <v>580</v>
      </c>
      <c r="D222" t="s">
        <v>26</v>
      </c>
      <c r="E222">
        <v>1286182.52</v>
      </c>
      <c r="F222">
        <v>70</v>
      </c>
      <c r="G222">
        <v>90032776.400000006</v>
      </c>
      <c r="H222" t="s">
        <v>1388</v>
      </c>
    </row>
    <row r="223" spans="1:8" x14ac:dyDescent="0.25">
      <c r="A223" t="s">
        <v>1111</v>
      </c>
      <c r="B223" t="s">
        <v>825</v>
      </c>
      <c r="C223" t="s">
        <v>826</v>
      </c>
      <c r="D223" t="s">
        <v>19</v>
      </c>
      <c r="E223">
        <v>1959818.62</v>
      </c>
      <c r="F223">
        <v>17</v>
      </c>
      <c r="G223">
        <v>33316916.539999999</v>
      </c>
      <c r="H223" t="s">
        <v>1388</v>
      </c>
    </row>
    <row r="224" spans="1:8" x14ac:dyDescent="0.25">
      <c r="A224" t="s">
        <v>1111</v>
      </c>
      <c r="B224" t="s">
        <v>557</v>
      </c>
      <c r="C224" t="s">
        <v>558</v>
      </c>
      <c r="D224" t="s">
        <v>14</v>
      </c>
      <c r="E224">
        <v>534136.84</v>
      </c>
      <c r="F224">
        <v>30</v>
      </c>
      <c r="G224">
        <v>16024105.199999999</v>
      </c>
      <c r="H224" t="s">
        <v>1388</v>
      </c>
    </row>
    <row r="225" spans="1:8" x14ac:dyDescent="0.25">
      <c r="A225" t="s">
        <v>1407</v>
      </c>
      <c r="B225" t="s">
        <v>879</v>
      </c>
      <c r="C225" t="s">
        <v>880</v>
      </c>
      <c r="D225" t="s">
        <v>10</v>
      </c>
      <c r="E225">
        <v>1510228.73</v>
      </c>
      <c r="F225">
        <v>58</v>
      </c>
      <c r="G225">
        <v>87593266.340000004</v>
      </c>
      <c r="H225" t="s">
        <v>1388</v>
      </c>
    </row>
    <row r="226" spans="1:8" x14ac:dyDescent="0.25">
      <c r="A226" t="s">
        <v>1112</v>
      </c>
      <c r="B226" t="s">
        <v>653</v>
      </c>
      <c r="C226" t="s">
        <v>654</v>
      </c>
      <c r="D226" t="s">
        <v>14</v>
      </c>
      <c r="E226">
        <v>1110974.6000000001</v>
      </c>
      <c r="F226">
        <v>32</v>
      </c>
      <c r="G226">
        <v>35551187.200000003</v>
      </c>
      <c r="H226" t="s">
        <v>1388</v>
      </c>
    </row>
    <row r="227" spans="1:8" x14ac:dyDescent="0.25">
      <c r="A227" t="s">
        <v>1112</v>
      </c>
      <c r="B227" t="s">
        <v>227</v>
      </c>
      <c r="C227" t="s">
        <v>228</v>
      </c>
      <c r="D227" t="s">
        <v>14</v>
      </c>
      <c r="E227">
        <v>737983.46</v>
      </c>
      <c r="F227">
        <v>60</v>
      </c>
      <c r="G227">
        <v>44279007.600000001</v>
      </c>
      <c r="H227" t="s">
        <v>1388</v>
      </c>
    </row>
    <row r="228" spans="1:8" x14ac:dyDescent="0.25">
      <c r="A228" t="s">
        <v>1112</v>
      </c>
      <c r="B228" t="s">
        <v>485</v>
      </c>
      <c r="C228" t="s">
        <v>486</v>
      </c>
      <c r="D228" t="s">
        <v>19</v>
      </c>
      <c r="E228">
        <v>1604230.65</v>
      </c>
      <c r="F228">
        <v>59</v>
      </c>
      <c r="G228">
        <v>94649608.349999994</v>
      </c>
      <c r="H228" t="s">
        <v>1388</v>
      </c>
    </row>
    <row r="229" spans="1:8" x14ac:dyDescent="0.25">
      <c r="A229" t="s">
        <v>1113</v>
      </c>
      <c r="B229" t="s">
        <v>491</v>
      </c>
      <c r="C229" t="s">
        <v>492</v>
      </c>
      <c r="D229" t="s">
        <v>26</v>
      </c>
      <c r="E229">
        <v>1014155.64</v>
      </c>
      <c r="F229">
        <v>5</v>
      </c>
      <c r="G229">
        <v>5070778.2</v>
      </c>
      <c r="H229" t="s">
        <v>1388</v>
      </c>
    </row>
    <row r="230" spans="1:8" x14ac:dyDescent="0.25">
      <c r="A230" t="s">
        <v>1113</v>
      </c>
      <c r="B230" t="s">
        <v>861</v>
      </c>
      <c r="C230" t="s">
        <v>862</v>
      </c>
      <c r="D230" t="s">
        <v>14</v>
      </c>
      <c r="E230">
        <v>227097.09</v>
      </c>
      <c r="F230">
        <v>71</v>
      </c>
      <c r="G230">
        <v>16123893.390000001</v>
      </c>
      <c r="H230" t="s">
        <v>1388</v>
      </c>
    </row>
    <row r="231" spans="1:8" x14ac:dyDescent="0.25">
      <c r="A231" t="s">
        <v>1113</v>
      </c>
      <c r="B231" t="s">
        <v>371</v>
      </c>
      <c r="C231" t="s">
        <v>372</v>
      </c>
      <c r="D231" t="s">
        <v>26</v>
      </c>
      <c r="E231">
        <v>4024535.83</v>
      </c>
      <c r="F231">
        <v>28</v>
      </c>
      <c r="G231">
        <v>112687003.23999999</v>
      </c>
      <c r="H231" t="s">
        <v>1388</v>
      </c>
    </row>
    <row r="232" spans="1:8" x14ac:dyDescent="0.25">
      <c r="A232" t="s">
        <v>1408</v>
      </c>
      <c r="B232" t="s">
        <v>639</v>
      </c>
      <c r="C232" t="s">
        <v>640</v>
      </c>
      <c r="D232" t="s">
        <v>14</v>
      </c>
      <c r="E232">
        <v>271907.18</v>
      </c>
      <c r="F232">
        <v>58</v>
      </c>
      <c r="G232">
        <v>15770616.439999999</v>
      </c>
      <c r="H232" t="s">
        <v>1388</v>
      </c>
    </row>
    <row r="233" spans="1:8" x14ac:dyDescent="0.25">
      <c r="A233" t="s">
        <v>1408</v>
      </c>
      <c r="B233" t="s">
        <v>953</v>
      </c>
      <c r="C233" t="s">
        <v>954</v>
      </c>
      <c r="D233" t="s">
        <v>19</v>
      </c>
      <c r="E233">
        <v>1744943.83</v>
      </c>
      <c r="F233">
        <v>69</v>
      </c>
      <c r="G233">
        <v>120401124.27</v>
      </c>
      <c r="H233" t="s">
        <v>1388</v>
      </c>
    </row>
    <row r="234" spans="1:8" x14ac:dyDescent="0.25">
      <c r="A234" t="s">
        <v>1408</v>
      </c>
      <c r="B234" t="s">
        <v>901</v>
      </c>
      <c r="C234" t="s">
        <v>902</v>
      </c>
      <c r="D234" t="s">
        <v>14</v>
      </c>
      <c r="E234">
        <v>883979.14</v>
      </c>
      <c r="F234">
        <v>3</v>
      </c>
      <c r="G234">
        <v>2651937.42</v>
      </c>
      <c r="H234" t="s">
        <v>1388</v>
      </c>
    </row>
    <row r="235" spans="1:8" x14ac:dyDescent="0.25">
      <c r="A235" t="s">
        <v>1408</v>
      </c>
      <c r="B235" t="s">
        <v>281</v>
      </c>
      <c r="C235" t="s">
        <v>282</v>
      </c>
      <c r="D235" t="s">
        <v>19</v>
      </c>
      <c r="E235">
        <v>1763692.23</v>
      </c>
      <c r="F235">
        <v>60</v>
      </c>
      <c r="G235">
        <v>105821533.8</v>
      </c>
      <c r="H235" t="s">
        <v>1388</v>
      </c>
    </row>
    <row r="236" spans="1:8" x14ac:dyDescent="0.25">
      <c r="A236" t="s">
        <v>1408</v>
      </c>
      <c r="B236" t="s">
        <v>637</v>
      </c>
      <c r="C236" t="s">
        <v>638</v>
      </c>
      <c r="D236" t="s">
        <v>26</v>
      </c>
      <c r="E236">
        <v>3109751.79</v>
      </c>
      <c r="F236">
        <v>79</v>
      </c>
      <c r="G236">
        <v>245670391.41</v>
      </c>
      <c r="H236" t="s">
        <v>1388</v>
      </c>
    </row>
    <row r="237" spans="1:8" x14ac:dyDescent="0.25">
      <c r="A237" t="s">
        <v>1408</v>
      </c>
      <c r="B237" t="s">
        <v>525</v>
      </c>
      <c r="C237" t="s">
        <v>526</v>
      </c>
      <c r="D237" t="s">
        <v>10</v>
      </c>
      <c r="E237">
        <v>1434772.46</v>
      </c>
      <c r="F237">
        <v>55</v>
      </c>
      <c r="G237">
        <v>78912485.299999997</v>
      </c>
      <c r="H237" t="s">
        <v>1388</v>
      </c>
    </row>
    <row r="238" spans="1:8" x14ac:dyDescent="0.25">
      <c r="A238" t="s">
        <v>1114</v>
      </c>
      <c r="B238" t="s">
        <v>173</v>
      </c>
      <c r="C238" t="s">
        <v>174</v>
      </c>
      <c r="D238" t="s">
        <v>19</v>
      </c>
      <c r="E238">
        <v>1494282.02</v>
      </c>
      <c r="F238">
        <v>63</v>
      </c>
      <c r="G238">
        <v>94139767.260000005</v>
      </c>
      <c r="H238" t="s">
        <v>1388</v>
      </c>
    </row>
    <row r="239" spans="1:8" x14ac:dyDescent="0.25">
      <c r="A239" t="s">
        <v>1117</v>
      </c>
      <c r="B239" t="s">
        <v>349</v>
      </c>
      <c r="C239" t="s">
        <v>350</v>
      </c>
      <c r="D239" t="s">
        <v>19</v>
      </c>
      <c r="E239">
        <v>1450537.53</v>
      </c>
      <c r="F239">
        <v>44</v>
      </c>
      <c r="G239">
        <v>63823651.32</v>
      </c>
      <c r="H239" t="s">
        <v>1388</v>
      </c>
    </row>
    <row r="240" spans="1:8" x14ac:dyDescent="0.25">
      <c r="A240" t="s">
        <v>1117</v>
      </c>
      <c r="B240" t="s">
        <v>887</v>
      </c>
      <c r="C240" t="s">
        <v>888</v>
      </c>
      <c r="D240" t="s">
        <v>19</v>
      </c>
      <c r="E240">
        <v>418713.11</v>
      </c>
      <c r="F240">
        <v>49</v>
      </c>
      <c r="G240">
        <v>20516942.390000001</v>
      </c>
      <c r="H240" t="s">
        <v>1388</v>
      </c>
    </row>
    <row r="241" spans="1:8" x14ac:dyDescent="0.25">
      <c r="A241" t="s">
        <v>1117</v>
      </c>
      <c r="B241" t="s">
        <v>449</v>
      </c>
      <c r="C241" t="s">
        <v>450</v>
      </c>
      <c r="D241" t="s">
        <v>26</v>
      </c>
      <c r="E241">
        <v>1598661.41</v>
      </c>
      <c r="F241">
        <v>18</v>
      </c>
      <c r="G241">
        <v>28775905.379999999</v>
      </c>
      <c r="H241" t="s">
        <v>1388</v>
      </c>
    </row>
    <row r="242" spans="1:8" x14ac:dyDescent="0.25">
      <c r="A242" t="s">
        <v>1117</v>
      </c>
      <c r="B242" t="s">
        <v>517</v>
      </c>
      <c r="C242" t="s">
        <v>518</v>
      </c>
      <c r="D242" t="s">
        <v>26</v>
      </c>
      <c r="E242">
        <v>2842554.02</v>
      </c>
      <c r="F242">
        <v>53</v>
      </c>
      <c r="G242">
        <v>150655363.06</v>
      </c>
      <c r="H242" t="s">
        <v>1388</v>
      </c>
    </row>
    <row r="243" spans="1:8" x14ac:dyDescent="0.25">
      <c r="A243" t="s">
        <v>1118</v>
      </c>
      <c r="B243" t="s">
        <v>183</v>
      </c>
      <c r="C243" t="s">
        <v>184</v>
      </c>
      <c r="D243" t="s">
        <v>19</v>
      </c>
      <c r="E243">
        <v>102771.4</v>
      </c>
      <c r="F243">
        <v>27</v>
      </c>
      <c r="G243">
        <v>2774827.8</v>
      </c>
      <c r="H243" t="s">
        <v>1388</v>
      </c>
    </row>
    <row r="244" spans="1:8" x14ac:dyDescent="0.25">
      <c r="A244" t="s">
        <v>1118</v>
      </c>
      <c r="B244" t="s">
        <v>459</v>
      </c>
      <c r="C244" t="s">
        <v>460</v>
      </c>
      <c r="D244" t="s">
        <v>26</v>
      </c>
      <c r="E244">
        <v>2748137.49</v>
      </c>
      <c r="F244">
        <v>52</v>
      </c>
      <c r="G244">
        <v>142903149.47999999</v>
      </c>
      <c r="H244" t="s">
        <v>1388</v>
      </c>
    </row>
    <row r="245" spans="1:8" x14ac:dyDescent="0.25">
      <c r="A245" t="s">
        <v>1118</v>
      </c>
      <c r="B245" t="s">
        <v>125</v>
      </c>
      <c r="C245" t="s">
        <v>126</v>
      </c>
      <c r="D245" t="s">
        <v>14</v>
      </c>
      <c r="E245">
        <v>436441.23</v>
      </c>
      <c r="F245">
        <v>15</v>
      </c>
      <c r="G245">
        <v>6546618.4500000002</v>
      </c>
      <c r="H245" t="s">
        <v>1388</v>
      </c>
    </row>
    <row r="246" spans="1:8" x14ac:dyDescent="0.25">
      <c r="A246" t="s">
        <v>1118</v>
      </c>
      <c r="B246" t="s">
        <v>117</v>
      </c>
      <c r="C246" t="s">
        <v>118</v>
      </c>
      <c r="D246" t="s">
        <v>10</v>
      </c>
      <c r="E246">
        <v>1242400.8999999999</v>
      </c>
      <c r="F246">
        <v>49</v>
      </c>
      <c r="G246">
        <v>60877644.100000001</v>
      </c>
      <c r="H246" t="s">
        <v>1388</v>
      </c>
    </row>
    <row r="247" spans="1:8" x14ac:dyDescent="0.25">
      <c r="A247" t="s">
        <v>1119</v>
      </c>
      <c r="B247" t="s">
        <v>793</v>
      </c>
      <c r="C247" t="s">
        <v>794</v>
      </c>
      <c r="D247" t="s">
        <v>26</v>
      </c>
      <c r="E247">
        <v>465912.78</v>
      </c>
      <c r="F247">
        <v>65</v>
      </c>
      <c r="G247">
        <v>30284330.699999999</v>
      </c>
      <c r="H247" t="s">
        <v>1388</v>
      </c>
    </row>
    <row r="248" spans="1:8" x14ac:dyDescent="0.25">
      <c r="A248" t="s">
        <v>1119</v>
      </c>
      <c r="B248" t="s">
        <v>8</v>
      </c>
      <c r="C248" t="s">
        <v>9</v>
      </c>
      <c r="D248" t="s">
        <v>10</v>
      </c>
      <c r="E248">
        <v>946362.81</v>
      </c>
      <c r="F248">
        <v>24</v>
      </c>
      <c r="G248">
        <v>22712707.440000001</v>
      </c>
      <c r="H248" t="s">
        <v>1388</v>
      </c>
    </row>
    <row r="249" spans="1:8" x14ac:dyDescent="0.25">
      <c r="A249" t="s">
        <v>1119</v>
      </c>
      <c r="B249" t="s">
        <v>135</v>
      </c>
      <c r="C249" t="s">
        <v>136</v>
      </c>
      <c r="D249" t="s">
        <v>14</v>
      </c>
      <c r="E249">
        <v>1176051.45</v>
      </c>
      <c r="F249">
        <v>80</v>
      </c>
      <c r="G249">
        <v>94084116</v>
      </c>
      <c r="H249" t="s">
        <v>1388</v>
      </c>
    </row>
    <row r="250" spans="1:8" x14ac:dyDescent="0.25">
      <c r="A250" t="s">
        <v>1119</v>
      </c>
      <c r="B250" t="s">
        <v>493</v>
      </c>
      <c r="C250" t="s">
        <v>494</v>
      </c>
      <c r="D250" t="s">
        <v>19</v>
      </c>
      <c r="E250">
        <v>1100517.78</v>
      </c>
      <c r="F250">
        <v>53</v>
      </c>
      <c r="G250">
        <v>58327442.340000004</v>
      </c>
      <c r="H250" t="s">
        <v>1388</v>
      </c>
    </row>
    <row r="251" spans="1:8" x14ac:dyDescent="0.25">
      <c r="A251" t="s">
        <v>1119</v>
      </c>
      <c r="B251" t="s">
        <v>8</v>
      </c>
      <c r="C251" t="s">
        <v>9</v>
      </c>
      <c r="D251" t="s">
        <v>10</v>
      </c>
      <c r="E251">
        <v>1038450.09</v>
      </c>
      <c r="F251">
        <v>21</v>
      </c>
      <c r="G251">
        <v>21807451.890000001</v>
      </c>
      <c r="H251" t="s">
        <v>1388</v>
      </c>
    </row>
    <row r="252" spans="1:8" x14ac:dyDescent="0.25">
      <c r="A252" t="s">
        <v>1119</v>
      </c>
      <c r="B252" t="s">
        <v>841</v>
      </c>
      <c r="C252" t="s">
        <v>842</v>
      </c>
      <c r="D252" t="s">
        <v>26</v>
      </c>
      <c r="E252">
        <v>2768393.88</v>
      </c>
      <c r="F252">
        <v>25</v>
      </c>
      <c r="G252">
        <v>69209847</v>
      </c>
      <c r="H252" t="s">
        <v>1388</v>
      </c>
    </row>
    <row r="253" spans="1:8" x14ac:dyDescent="0.25">
      <c r="A253" t="s">
        <v>1120</v>
      </c>
      <c r="B253" t="s">
        <v>817</v>
      </c>
      <c r="C253" t="s">
        <v>818</v>
      </c>
      <c r="D253" t="s">
        <v>10</v>
      </c>
      <c r="E253">
        <v>1214877.1499999999</v>
      </c>
      <c r="F253">
        <v>79</v>
      </c>
      <c r="G253">
        <v>95975294.849999994</v>
      </c>
      <c r="H253" t="s">
        <v>1388</v>
      </c>
    </row>
    <row r="254" spans="1:8" x14ac:dyDescent="0.25">
      <c r="A254" t="s">
        <v>1409</v>
      </c>
      <c r="B254" t="s">
        <v>353</v>
      </c>
      <c r="C254" t="s">
        <v>354</v>
      </c>
      <c r="D254" t="s">
        <v>14</v>
      </c>
      <c r="E254">
        <v>780867.32</v>
      </c>
      <c r="F254">
        <v>7</v>
      </c>
      <c r="G254">
        <v>5466071.2400000002</v>
      </c>
      <c r="H254" t="s">
        <v>1388</v>
      </c>
    </row>
    <row r="255" spans="1:8" x14ac:dyDescent="0.25">
      <c r="A255" t="s">
        <v>1409</v>
      </c>
      <c r="B255" t="s">
        <v>711</v>
      </c>
      <c r="C255" t="s">
        <v>712</v>
      </c>
      <c r="D255" t="s">
        <v>26</v>
      </c>
      <c r="E255">
        <v>3409019.27</v>
      </c>
      <c r="F255">
        <v>52</v>
      </c>
      <c r="G255">
        <v>177269002.03999999</v>
      </c>
      <c r="H255" t="s">
        <v>1388</v>
      </c>
    </row>
    <row r="256" spans="1:8" x14ac:dyDescent="0.25">
      <c r="A256" t="s">
        <v>1409</v>
      </c>
      <c r="B256" t="s">
        <v>879</v>
      </c>
      <c r="C256" t="s">
        <v>880</v>
      </c>
      <c r="D256" t="s">
        <v>10</v>
      </c>
      <c r="E256">
        <v>1652031.79</v>
      </c>
      <c r="F256">
        <v>27</v>
      </c>
      <c r="G256">
        <v>44604858.329999998</v>
      </c>
      <c r="H256" t="s">
        <v>1388</v>
      </c>
    </row>
    <row r="257" spans="1:8" x14ac:dyDescent="0.25">
      <c r="A257" t="s">
        <v>1122</v>
      </c>
      <c r="B257" t="s">
        <v>675</v>
      </c>
      <c r="C257" t="s">
        <v>676</v>
      </c>
      <c r="D257" t="s">
        <v>19</v>
      </c>
      <c r="E257">
        <v>460400.21</v>
      </c>
      <c r="F257">
        <v>13</v>
      </c>
      <c r="G257">
        <v>5985202.7300000004</v>
      </c>
      <c r="H257" t="s">
        <v>1388</v>
      </c>
    </row>
    <row r="258" spans="1:8" x14ac:dyDescent="0.25">
      <c r="A258" t="s">
        <v>1122</v>
      </c>
      <c r="B258" t="s">
        <v>875</v>
      </c>
      <c r="C258" t="s">
        <v>876</v>
      </c>
      <c r="D258" t="s">
        <v>19</v>
      </c>
      <c r="E258">
        <v>922890.52</v>
      </c>
      <c r="F258">
        <v>79</v>
      </c>
      <c r="G258">
        <v>72908351.079999998</v>
      </c>
      <c r="H258" t="s">
        <v>1388</v>
      </c>
    </row>
    <row r="259" spans="1:8" x14ac:dyDescent="0.25">
      <c r="A259" t="s">
        <v>1122</v>
      </c>
      <c r="B259" t="s">
        <v>299</v>
      </c>
      <c r="C259" t="s">
        <v>300</v>
      </c>
      <c r="D259" t="s">
        <v>19</v>
      </c>
      <c r="E259">
        <v>240007.13</v>
      </c>
      <c r="F259">
        <v>53</v>
      </c>
      <c r="G259">
        <v>12720377.890000001</v>
      </c>
      <c r="H259" t="s">
        <v>1388</v>
      </c>
    </row>
    <row r="260" spans="1:8" x14ac:dyDescent="0.25">
      <c r="A260" t="s">
        <v>1122</v>
      </c>
      <c r="B260" t="s">
        <v>225</v>
      </c>
      <c r="C260" t="s">
        <v>226</v>
      </c>
      <c r="D260" t="s">
        <v>26</v>
      </c>
      <c r="E260">
        <v>1789715.94</v>
      </c>
      <c r="F260">
        <v>21</v>
      </c>
      <c r="G260">
        <v>37584034.740000002</v>
      </c>
      <c r="H260" t="s">
        <v>1388</v>
      </c>
    </row>
    <row r="261" spans="1:8" x14ac:dyDescent="0.25">
      <c r="A261" t="s">
        <v>1122</v>
      </c>
      <c r="B261" t="s">
        <v>77</v>
      </c>
      <c r="C261" t="s">
        <v>78</v>
      </c>
      <c r="D261" t="s">
        <v>10</v>
      </c>
      <c r="E261">
        <v>640038.98</v>
      </c>
      <c r="F261">
        <v>43</v>
      </c>
      <c r="G261">
        <v>27521676.140000001</v>
      </c>
      <c r="H261" t="s">
        <v>1388</v>
      </c>
    </row>
    <row r="262" spans="1:8" x14ac:dyDescent="0.25">
      <c r="A262" t="s">
        <v>1122</v>
      </c>
      <c r="B262" t="s">
        <v>229</v>
      </c>
      <c r="C262" t="s">
        <v>230</v>
      </c>
      <c r="D262" t="s">
        <v>14</v>
      </c>
      <c r="E262">
        <v>686585.55</v>
      </c>
      <c r="F262">
        <v>5</v>
      </c>
      <c r="G262">
        <v>3432927.75</v>
      </c>
      <c r="H262" t="s">
        <v>1388</v>
      </c>
    </row>
    <row r="263" spans="1:8" x14ac:dyDescent="0.25">
      <c r="A263" t="s">
        <v>1123</v>
      </c>
      <c r="B263" t="s">
        <v>217</v>
      </c>
      <c r="C263" t="s">
        <v>218</v>
      </c>
      <c r="D263" t="s">
        <v>26</v>
      </c>
      <c r="E263">
        <v>1305030.6499999999</v>
      </c>
      <c r="F263">
        <v>69</v>
      </c>
      <c r="G263">
        <v>90047114.849999994</v>
      </c>
      <c r="H263" t="s">
        <v>1388</v>
      </c>
    </row>
    <row r="264" spans="1:8" x14ac:dyDescent="0.25">
      <c r="A264" t="s">
        <v>1123</v>
      </c>
      <c r="B264" t="s">
        <v>353</v>
      </c>
      <c r="C264" t="s">
        <v>354</v>
      </c>
      <c r="D264" t="s">
        <v>14</v>
      </c>
      <c r="E264">
        <v>801973.1</v>
      </c>
      <c r="F264">
        <v>40</v>
      </c>
      <c r="G264">
        <v>32078924</v>
      </c>
      <c r="H264" t="s">
        <v>1388</v>
      </c>
    </row>
    <row r="265" spans="1:8" x14ac:dyDescent="0.25">
      <c r="A265" t="s">
        <v>1123</v>
      </c>
      <c r="B265" t="s">
        <v>885</v>
      </c>
      <c r="C265" t="s">
        <v>886</v>
      </c>
      <c r="D265" t="s">
        <v>10</v>
      </c>
      <c r="E265">
        <v>1385492.51</v>
      </c>
      <c r="F265">
        <v>64</v>
      </c>
      <c r="G265">
        <v>88671520.640000001</v>
      </c>
      <c r="H265" t="s">
        <v>1388</v>
      </c>
    </row>
    <row r="266" spans="1:8" x14ac:dyDescent="0.25">
      <c r="A266" t="s">
        <v>1123</v>
      </c>
      <c r="B266" t="s">
        <v>709</v>
      </c>
      <c r="C266" t="s">
        <v>710</v>
      </c>
      <c r="D266" t="s">
        <v>10</v>
      </c>
      <c r="E266">
        <v>1484295.78</v>
      </c>
      <c r="F266">
        <v>74</v>
      </c>
      <c r="G266">
        <v>109837887.72</v>
      </c>
      <c r="H266" t="s">
        <v>1388</v>
      </c>
    </row>
    <row r="267" spans="1:8" x14ac:dyDescent="0.25">
      <c r="A267" t="s">
        <v>1124</v>
      </c>
      <c r="B267" t="s">
        <v>135</v>
      </c>
      <c r="C267" t="s">
        <v>136</v>
      </c>
      <c r="D267" t="s">
        <v>14</v>
      </c>
      <c r="E267">
        <v>1266416.94</v>
      </c>
      <c r="F267">
        <v>56</v>
      </c>
      <c r="G267">
        <v>70919348.640000001</v>
      </c>
      <c r="H267" t="s">
        <v>1388</v>
      </c>
    </row>
    <row r="268" spans="1:8" x14ac:dyDescent="0.25">
      <c r="A268" t="s">
        <v>1124</v>
      </c>
      <c r="B268" t="s">
        <v>665</v>
      </c>
      <c r="C268" t="s">
        <v>666</v>
      </c>
      <c r="D268" t="s">
        <v>10</v>
      </c>
      <c r="E268">
        <v>492431.74</v>
      </c>
      <c r="F268">
        <v>64</v>
      </c>
      <c r="G268">
        <v>31515631.359999999</v>
      </c>
      <c r="H268" t="s">
        <v>1388</v>
      </c>
    </row>
    <row r="269" spans="1:8" x14ac:dyDescent="0.25">
      <c r="A269" t="s">
        <v>1124</v>
      </c>
      <c r="B269" t="s">
        <v>591</v>
      </c>
      <c r="C269" t="s">
        <v>592</v>
      </c>
      <c r="D269" t="s">
        <v>10</v>
      </c>
      <c r="E269">
        <v>1077224.1299999999</v>
      </c>
      <c r="F269">
        <v>71</v>
      </c>
      <c r="G269">
        <v>76482913.230000004</v>
      </c>
      <c r="H269" t="s">
        <v>1388</v>
      </c>
    </row>
    <row r="270" spans="1:8" x14ac:dyDescent="0.25">
      <c r="A270" t="s">
        <v>1124</v>
      </c>
      <c r="B270" t="s">
        <v>735</v>
      </c>
      <c r="C270" t="s">
        <v>736</v>
      </c>
      <c r="D270" t="s">
        <v>19</v>
      </c>
      <c r="E270">
        <v>1564614.22</v>
      </c>
      <c r="F270">
        <v>19</v>
      </c>
      <c r="G270">
        <v>29727670.18</v>
      </c>
      <c r="H270" t="s">
        <v>1388</v>
      </c>
    </row>
    <row r="271" spans="1:8" x14ac:dyDescent="0.25">
      <c r="A271" t="s">
        <v>1125</v>
      </c>
      <c r="B271" t="s">
        <v>71</v>
      </c>
      <c r="C271" t="s">
        <v>72</v>
      </c>
      <c r="D271" t="s">
        <v>10</v>
      </c>
      <c r="E271">
        <v>248521.41</v>
      </c>
      <c r="F271">
        <v>63</v>
      </c>
      <c r="G271">
        <v>15656848.83</v>
      </c>
      <c r="H271" t="s">
        <v>1388</v>
      </c>
    </row>
    <row r="272" spans="1:8" x14ac:dyDescent="0.25">
      <c r="A272" t="s">
        <v>1125</v>
      </c>
      <c r="B272" t="s">
        <v>237</v>
      </c>
      <c r="C272" t="s">
        <v>238</v>
      </c>
      <c r="D272" t="s">
        <v>10</v>
      </c>
      <c r="E272">
        <v>1557293.83</v>
      </c>
      <c r="F272">
        <v>70</v>
      </c>
      <c r="G272">
        <v>109010568.09999999</v>
      </c>
      <c r="H272" t="s">
        <v>1388</v>
      </c>
    </row>
    <row r="273" spans="1:8" x14ac:dyDescent="0.25">
      <c r="A273" t="s">
        <v>1125</v>
      </c>
      <c r="B273" t="s">
        <v>479</v>
      </c>
      <c r="C273" t="s">
        <v>480</v>
      </c>
      <c r="D273" t="s">
        <v>26</v>
      </c>
      <c r="E273">
        <v>3574456.79</v>
      </c>
      <c r="F273">
        <v>30</v>
      </c>
      <c r="G273">
        <v>107233703.7</v>
      </c>
      <c r="H273" t="s">
        <v>1388</v>
      </c>
    </row>
    <row r="274" spans="1:8" x14ac:dyDescent="0.25">
      <c r="A274" t="s">
        <v>1125</v>
      </c>
      <c r="B274" t="s">
        <v>35</v>
      </c>
      <c r="C274" t="s">
        <v>36</v>
      </c>
      <c r="D274" t="s">
        <v>14</v>
      </c>
      <c r="E274">
        <v>528310.30000000005</v>
      </c>
      <c r="F274">
        <v>26</v>
      </c>
      <c r="G274">
        <v>13736067.800000001</v>
      </c>
      <c r="H274" t="s">
        <v>1388</v>
      </c>
    </row>
    <row r="275" spans="1:8" x14ac:dyDescent="0.25">
      <c r="A275" t="s">
        <v>1125</v>
      </c>
      <c r="B275" t="s">
        <v>889</v>
      </c>
      <c r="C275" t="s">
        <v>890</v>
      </c>
      <c r="D275" t="s">
        <v>14</v>
      </c>
      <c r="E275">
        <v>1162461.02</v>
      </c>
      <c r="F275">
        <v>21</v>
      </c>
      <c r="G275">
        <v>24411681.420000002</v>
      </c>
      <c r="H275" t="s">
        <v>1388</v>
      </c>
    </row>
    <row r="276" spans="1:8" x14ac:dyDescent="0.25">
      <c r="A276" t="s">
        <v>1410</v>
      </c>
      <c r="B276" t="s">
        <v>477</v>
      </c>
      <c r="C276" t="s">
        <v>478</v>
      </c>
      <c r="D276" t="s">
        <v>14</v>
      </c>
      <c r="E276">
        <v>177929.16</v>
      </c>
      <c r="F276">
        <v>10</v>
      </c>
      <c r="G276">
        <v>1779291.6</v>
      </c>
      <c r="H276" t="s">
        <v>1388</v>
      </c>
    </row>
    <row r="277" spans="1:8" x14ac:dyDescent="0.25">
      <c r="A277" t="s">
        <v>1410</v>
      </c>
      <c r="B277" t="s">
        <v>309</v>
      </c>
      <c r="C277" t="s">
        <v>310</v>
      </c>
      <c r="D277" t="s">
        <v>26</v>
      </c>
      <c r="E277">
        <v>1853509.77</v>
      </c>
      <c r="F277">
        <v>67</v>
      </c>
      <c r="G277">
        <v>124185154.59</v>
      </c>
      <c r="H277" t="s">
        <v>1388</v>
      </c>
    </row>
    <row r="278" spans="1:8" x14ac:dyDescent="0.25">
      <c r="A278" t="s">
        <v>1410</v>
      </c>
      <c r="B278" t="s">
        <v>207</v>
      </c>
      <c r="C278" t="s">
        <v>208</v>
      </c>
      <c r="D278" t="s">
        <v>14</v>
      </c>
      <c r="E278">
        <v>601690.46</v>
      </c>
      <c r="F278">
        <v>42</v>
      </c>
      <c r="G278">
        <v>25270999.32</v>
      </c>
      <c r="H278" t="s">
        <v>1388</v>
      </c>
    </row>
    <row r="279" spans="1:8" x14ac:dyDescent="0.25">
      <c r="A279" t="s">
        <v>1410</v>
      </c>
      <c r="B279" t="s">
        <v>859</v>
      </c>
      <c r="C279" t="s">
        <v>860</v>
      </c>
      <c r="D279" t="s">
        <v>19</v>
      </c>
      <c r="E279">
        <v>1030173.38</v>
      </c>
      <c r="F279">
        <v>40</v>
      </c>
      <c r="G279">
        <v>41206935.200000003</v>
      </c>
      <c r="H279" t="s">
        <v>1388</v>
      </c>
    </row>
    <row r="280" spans="1:8" x14ac:dyDescent="0.25">
      <c r="A280" t="s">
        <v>1410</v>
      </c>
      <c r="B280" t="s">
        <v>217</v>
      </c>
      <c r="C280" t="s">
        <v>218</v>
      </c>
      <c r="D280" t="s">
        <v>26</v>
      </c>
      <c r="E280">
        <v>1305456.23</v>
      </c>
      <c r="F280">
        <v>47</v>
      </c>
      <c r="G280">
        <v>61356442.810000002</v>
      </c>
      <c r="H280" t="s">
        <v>1388</v>
      </c>
    </row>
    <row r="281" spans="1:8" x14ac:dyDescent="0.25">
      <c r="A281" t="s">
        <v>1126</v>
      </c>
      <c r="B281" t="s">
        <v>347</v>
      </c>
      <c r="C281" t="s">
        <v>348</v>
      </c>
      <c r="D281" t="s">
        <v>26</v>
      </c>
      <c r="E281">
        <v>3561850.99</v>
      </c>
      <c r="F281">
        <v>20</v>
      </c>
      <c r="G281">
        <v>71237019.799999997</v>
      </c>
      <c r="H281" t="s">
        <v>1388</v>
      </c>
    </row>
    <row r="282" spans="1:8" x14ac:dyDescent="0.25">
      <c r="A282" t="s">
        <v>1126</v>
      </c>
      <c r="B282" t="s">
        <v>687</v>
      </c>
      <c r="C282" t="s">
        <v>688</v>
      </c>
      <c r="D282" t="s">
        <v>19</v>
      </c>
      <c r="E282">
        <v>2017018.26</v>
      </c>
      <c r="F282">
        <v>2</v>
      </c>
      <c r="G282">
        <v>4034036.52</v>
      </c>
      <c r="H282" t="s">
        <v>1388</v>
      </c>
    </row>
    <row r="283" spans="1:8" x14ac:dyDescent="0.25">
      <c r="A283" t="s">
        <v>1127</v>
      </c>
      <c r="B283" t="s">
        <v>987</v>
      </c>
      <c r="C283" t="s">
        <v>988</v>
      </c>
      <c r="D283" t="s">
        <v>14</v>
      </c>
      <c r="E283">
        <v>712418.88</v>
      </c>
      <c r="F283">
        <v>23</v>
      </c>
      <c r="G283">
        <v>16385634.24</v>
      </c>
      <c r="H283" t="s">
        <v>1388</v>
      </c>
    </row>
    <row r="284" spans="1:8" x14ac:dyDescent="0.25">
      <c r="A284" t="s">
        <v>1127</v>
      </c>
      <c r="B284" t="s">
        <v>381</v>
      </c>
      <c r="C284" t="s">
        <v>382</v>
      </c>
      <c r="D284" t="s">
        <v>19</v>
      </c>
      <c r="E284">
        <v>1211140.8700000001</v>
      </c>
      <c r="F284">
        <v>69</v>
      </c>
      <c r="G284">
        <v>83568720.030000001</v>
      </c>
      <c r="H284" t="s">
        <v>1388</v>
      </c>
    </row>
    <row r="285" spans="1:8" x14ac:dyDescent="0.25">
      <c r="A285" t="s">
        <v>1128</v>
      </c>
      <c r="B285" t="s">
        <v>521</v>
      </c>
      <c r="C285" t="s">
        <v>522</v>
      </c>
      <c r="D285" t="s">
        <v>10</v>
      </c>
      <c r="E285">
        <v>459764.72</v>
      </c>
      <c r="F285">
        <v>16</v>
      </c>
      <c r="G285">
        <v>7356235.5199999996</v>
      </c>
      <c r="H285" t="s">
        <v>1388</v>
      </c>
    </row>
    <row r="286" spans="1:8" x14ac:dyDescent="0.25">
      <c r="A286" t="s">
        <v>1128</v>
      </c>
      <c r="B286" t="s">
        <v>439</v>
      </c>
      <c r="C286" t="s">
        <v>440</v>
      </c>
      <c r="D286" t="s">
        <v>14</v>
      </c>
      <c r="E286">
        <v>1094194.72</v>
      </c>
      <c r="F286">
        <v>40</v>
      </c>
      <c r="G286">
        <v>43767788.799999997</v>
      </c>
      <c r="H286" t="s">
        <v>1388</v>
      </c>
    </row>
    <row r="287" spans="1:8" x14ac:dyDescent="0.25">
      <c r="A287" t="s">
        <v>1128</v>
      </c>
      <c r="B287" t="s">
        <v>275</v>
      </c>
      <c r="C287" t="s">
        <v>276</v>
      </c>
      <c r="D287" t="s">
        <v>10</v>
      </c>
      <c r="E287">
        <v>387764.7</v>
      </c>
      <c r="F287">
        <v>74</v>
      </c>
      <c r="G287">
        <v>28694587.800000001</v>
      </c>
      <c r="H287" t="s">
        <v>1388</v>
      </c>
    </row>
    <row r="288" spans="1:8" x14ac:dyDescent="0.25">
      <c r="A288" t="s">
        <v>1129</v>
      </c>
      <c r="B288" t="s">
        <v>127</v>
      </c>
      <c r="C288" t="s">
        <v>128</v>
      </c>
      <c r="D288" t="s">
        <v>14</v>
      </c>
      <c r="E288">
        <v>1138795.3</v>
      </c>
      <c r="F288">
        <v>56</v>
      </c>
      <c r="G288">
        <v>63772536.799999997</v>
      </c>
      <c r="H288" t="s">
        <v>1388</v>
      </c>
    </row>
    <row r="289" spans="1:8" x14ac:dyDescent="0.25">
      <c r="A289" t="s">
        <v>1129</v>
      </c>
      <c r="B289" t="s">
        <v>899</v>
      </c>
      <c r="C289" t="s">
        <v>900</v>
      </c>
      <c r="D289" t="s">
        <v>14</v>
      </c>
      <c r="E289">
        <v>353005.03</v>
      </c>
      <c r="F289">
        <v>18</v>
      </c>
      <c r="G289">
        <v>6354090.54</v>
      </c>
      <c r="H289" t="s">
        <v>1388</v>
      </c>
    </row>
    <row r="290" spans="1:8" x14ac:dyDescent="0.25">
      <c r="A290" t="s">
        <v>1129</v>
      </c>
      <c r="B290" t="s">
        <v>261</v>
      </c>
      <c r="C290" t="s">
        <v>262</v>
      </c>
      <c r="D290" t="s">
        <v>10</v>
      </c>
      <c r="E290">
        <v>1529761.79</v>
      </c>
      <c r="F290">
        <v>2</v>
      </c>
      <c r="G290">
        <v>3059523.58</v>
      </c>
      <c r="H290" t="s">
        <v>1388</v>
      </c>
    </row>
    <row r="291" spans="1:8" x14ac:dyDescent="0.25">
      <c r="A291" t="s">
        <v>1129</v>
      </c>
      <c r="B291" t="s">
        <v>225</v>
      </c>
      <c r="C291" t="s">
        <v>226</v>
      </c>
      <c r="D291" t="s">
        <v>26</v>
      </c>
      <c r="E291">
        <v>1736641.08</v>
      </c>
      <c r="F291">
        <v>62</v>
      </c>
      <c r="G291">
        <v>107671746.95999999</v>
      </c>
      <c r="H291" t="s">
        <v>1388</v>
      </c>
    </row>
    <row r="292" spans="1:8" x14ac:dyDescent="0.25">
      <c r="A292" t="s">
        <v>1129</v>
      </c>
      <c r="B292" t="s">
        <v>417</v>
      </c>
      <c r="C292" t="s">
        <v>418</v>
      </c>
      <c r="D292" t="s">
        <v>10</v>
      </c>
      <c r="E292">
        <v>231907.52</v>
      </c>
      <c r="F292">
        <v>10</v>
      </c>
      <c r="G292">
        <v>2319075.2000000002</v>
      </c>
      <c r="H292" t="s">
        <v>1388</v>
      </c>
    </row>
    <row r="293" spans="1:8" x14ac:dyDescent="0.25">
      <c r="A293" t="s">
        <v>1130</v>
      </c>
      <c r="B293" t="s">
        <v>121</v>
      </c>
      <c r="C293" t="s">
        <v>122</v>
      </c>
      <c r="D293" t="s">
        <v>26</v>
      </c>
      <c r="E293">
        <v>3845483.52</v>
      </c>
      <c r="F293">
        <v>71</v>
      </c>
      <c r="G293">
        <v>273029329.92000002</v>
      </c>
      <c r="H293" t="s">
        <v>1388</v>
      </c>
    </row>
    <row r="294" spans="1:8" x14ac:dyDescent="0.25">
      <c r="A294" t="s">
        <v>1130</v>
      </c>
      <c r="B294" t="s">
        <v>761</v>
      </c>
      <c r="C294" t="s">
        <v>762</v>
      </c>
      <c r="D294" t="s">
        <v>14</v>
      </c>
      <c r="E294">
        <v>962552.64</v>
      </c>
      <c r="F294">
        <v>12</v>
      </c>
      <c r="G294">
        <v>11550631.68</v>
      </c>
      <c r="H294" t="s">
        <v>1388</v>
      </c>
    </row>
    <row r="295" spans="1:8" x14ac:dyDescent="0.25">
      <c r="A295" t="s">
        <v>1411</v>
      </c>
      <c r="B295" t="s">
        <v>839</v>
      </c>
      <c r="C295" t="s">
        <v>840</v>
      </c>
      <c r="D295" t="s">
        <v>14</v>
      </c>
      <c r="E295">
        <v>809324.7</v>
      </c>
      <c r="F295">
        <v>39</v>
      </c>
      <c r="G295">
        <v>31563663.300000001</v>
      </c>
      <c r="H295" t="s">
        <v>1388</v>
      </c>
    </row>
    <row r="296" spans="1:8" x14ac:dyDescent="0.25">
      <c r="A296" t="s">
        <v>1411</v>
      </c>
      <c r="B296" t="s">
        <v>489</v>
      </c>
      <c r="C296" t="s">
        <v>490</v>
      </c>
      <c r="D296" t="s">
        <v>10</v>
      </c>
      <c r="E296">
        <v>1602092.44</v>
      </c>
      <c r="F296">
        <v>66</v>
      </c>
      <c r="G296">
        <v>105738101.04000001</v>
      </c>
      <c r="H296" t="s">
        <v>1388</v>
      </c>
    </row>
    <row r="297" spans="1:8" x14ac:dyDescent="0.25">
      <c r="A297" t="s">
        <v>1411</v>
      </c>
      <c r="B297" t="s">
        <v>355</v>
      </c>
      <c r="C297" t="s">
        <v>356</v>
      </c>
      <c r="D297" t="s">
        <v>14</v>
      </c>
      <c r="E297">
        <v>767865.79</v>
      </c>
      <c r="F297">
        <v>4</v>
      </c>
      <c r="G297">
        <v>3071463.16</v>
      </c>
      <c r="H297" t="s">
        <v>1388</v>
      </c>
    </row>
    <row r="298" spans="1:8" x14ac:dyDescent="0.25">
      <c r="A298" t="s">
        <v>1412</v>
      </c>
      <c r="B298" t="s">
        <v>559</v>
      </c>
      <c r="C298" t="s">
        <v>560</v>
      </c>
      <c r="D298" t="s">
        <v>19</v>
      </c>
      <c r="E298">
        <v>1825234.65</v>
      </c>
      <c r="F298">
        <v>74</v>
      </c>
      <c r="G298">
        <v>135067364.09999999</v>
      </c>
      <c r="H298" t="s">
        <v>1388</v>
      </c>
    </row>
    <row r="299" spans="1:8" x14ac:dyDescent="0.25">
      <c r="A299" t="s">
        <v>1412</v>
      </c>
      <c r="B299" t="s">
        <v>929</v>
      </c>
      <c r="C299" t="s">
        <v>930</v>
      </c>
      <c r="D299" t="s">
        <v>10</v>
      </c>
      <c r="E299">
        <v>1377181.16</v>
      </c>
      <c r="F299">
        <v>15</v>
      </c>
      <c r="G299">
        <v>20657717.399999999</v>
      </c>
      <c r="H299" t="s">
        <v>1388</v>
      </c>
    </row>
    <row r="300" spans="1:8" x14ac:dyDescent="0.25">
      <c r="A300" t="s">
        <v>1131</v>
      </c>
      <c r="B300" t="s">
        <v>425</v>
      </c>
      <c r="C300" t="s">
        <v>426</v>
      </c>
      <c r="D300" t="s">
        <v>14</v>
      </c>
      <c r="E300">
        <v>745019.72</v>
      </c>
      <c r="F300">
        <v>72</v>
      </c>
      <c r="G300">
        <v>53641419.840000004</v>
      </c>
      <c r="H300" t="s">
        <v>1388</v>
      </c>
    </row>
    <row r="301" spans="1:8" x14ac:dyDescent="0.25">
      <c r="A301" t="s">
        <v>1131</v>
      </c>
      <c r="B301" t="s">
        <v>679</v>
      </c>
      <c r="C301" t="s">
        <v>680</v>
      </c>
      <c r="D301" t="s">
        <v>19</v>
      </c>
      <c r="E301">
        <v>1719879.42</v>
      </c>
      <c r="F301">
        <v>62</v>
      </c>
      <c r="G301">
        <v>106632524.04000001</v>
      </c>
      <c r="H301" t="s">
        <v>1388</v>
      </c>
    </row>
    <row r="302" spans="1:8" x14ac:dyDescent="0.25">
      <c r="A302" t="s">
        <v>1131</v>
      </c>
      <c r="B302" t="s">
        <v>809</v>
      </c>
      <c r="C302" t="s">
        <v>810</v>
      </c>
      <c r="D302" t="s">
        <v>26</v>
      </c>
      <c r="E302">
        <v>2653498.0499999998</v>
      </c>
      <c r="F302">
        <v>25</v>
      </c>
      <c r="G302">
        <v>66337451.25</v>
      </c>
      <c r="H302" t="s">
        <v>1388</v>
      </c>
    </row>
    <row r="303" spans="1:8" x14ac:dyDescent="0.25">
      <c r="A303" t="s">
        <v>1131</v>
      </c>
      <c r="B303" t="s">
        <v>957</v>
      </c>
      <c r="C303" t="s">
        <v>958</v>
      </c>
      <c r="D303" t="s">
        <v>10</v>
      </c>
      <c r="E303">
        <v>106685.6</v>
      </c>
      <c r="F303">
        <v>14</v>
      </c>
      <c r="G303">
        <v>1493598.4</v>
      </c>
      <c r="H303" t="s">
        <v>1388</v>
      </c>
    </row>
    <row r="304" spans="1:8" x14ac:dyDescent="0.25">
      <c r="A304" t="s">
        <v>1131</v>
      </c>
      <c r="B304" t="s">
        <v>895</v>
      </c>
      <c r="C304" t="s">
        <v>896</v>
      </c>
      <c r="D304" t="s">
        <v>26</v>
      </c>
      <c r="E304">
        <v>2678917.9700000002</v>
      </c>
      <c r="F304">
        <v>31</v>
      </c>
      <c r="G304">
        <v>83046457.069999993</v>
      </c>
      <c r="H304" t="s">
        <v>1388</v>
      </c>
    </row>
    <row r="305" spans="1:8" x14ac:dyDescent="0.25">
      <c r="A305" t="s">
        <v>1133</v>
      </c>
      <c r="B305" t="s">
        <v>705</v>
      </c>
      <c r="C305" t="s">
        <v>706</v>
      </c>
      <c r="D305" t="s">
        <v>10</v>
      </c>
      <c r="E305">
        <v>1714908.73</v>
      </c>
      <c r="F305">
        <v>16</v>
      </c>
      <c r="G305">
        <v>27438539.68</v>
      </c>
      <c r="H305" t="s">
        <v>1388</v>
      </c>
    </row>
    <row r="306" spans="1:8" x14ac:dyDescent="0.25">
      <c r="A306" t="s">
        <v>1133</v>
      </c>
      <c r="B306" t="s">
        <v>613</v>
      </c>
      <c r="C306" t="s">
        <v>614</v>
      </c>
      <c r="D306" t="s">
        <v>10</v>
      </c>
      <c r="E306">
        <v>469806.2</v>
      </c>
      <c r="F306">
        <v>33</v>
      </c>
      <c r="G306">
        <v>15503604.6</v>
      </c>
      <c r="H306" t="s">
        <v>1388</v>
      </c>
    </row>
    <row r="307" spans="1:8" x14ac:dyDescent="0.25">
      <c r="A307" t="s">
        <v>1133</v>
      </c>
      <c r="B307" t="s">
        <v>749</v>
      </c>
      <c r="C307" t="s">
        <v>750</v>
      </c>
      <c r="D307" t="s">
        <v>19</v>
      </c>
      <c r="E307">
        <v>270692.2</v>
      </c>
      <c r="F307">
        <v>76</v>
      </c>
      <c r="G307">
        <v>20572607.199999999</v>
      </c>
      <c r="H307" t="s">
        <v>1388</v>
      </c>
    </row>
    <row r="308" spans="1:8" x14ac:dyDescent="0.25">
      <c r="A308" t="s">
        <v>1413</v>
      </c>
      <c r="B308" t="s">
        <v>87</v>
      </c>
      <c r="C308" t="s">
        <v>88</v>
      </c>
      <c r="D308" t="s">
        <v>26</v>
      </c>
      <c r="E308">
        <v>3866066.06</v>
      </c>
      <c r="F308">
        <v>77</v>
      </c>
      <c r="G308">
        <v>297687086.62</v>
      </c>
      <c r="H308" t="s">
        <v>1388</v>
      </c>
    </row>
    <row r="309" spans="1:8" x14ac:dyDescent="0.25">
      <c r="A309" t="s">
        <v>1134</v>
      </c>
      <c r="B309" t="s">
        <v>193</v>
      </c>
      <c r="C309" t="s">
        <v>194</v>
      </c>
      <c r="D309" t="s">
        <v>14</v>
      </c>
      <c r="E309">
        <v>331778.49</v>
      </c>
      <c r="F309">
        <v>52</v>
      </c>
      <c r="G309">
        <v>17252481.48</v>
      </c>
      <c r="H309" t="s">
        <v>1388</v>
      </c>
    </row>
    <row r="310" spans="1:8" x14ac:dyDescent="0.25">
      <c r="A310" t="s">
        <v>1136</v>
      </c>
      <c r="B310" t="s">
        <v>667</v>
      </c>
      <c r="C310" t="s">
        <v>668</v>
      </c>
      <c r="D310" t="s">
        <v>26</v>
      </c>
      <c r="E310">
        <v>3690049.68</v>
      </c>
      <c r="F310">
        <v>62</v>
      </c>
      <c r="G310">
        <v>228783080.16</v>
      </c>
      <c r="H310" t="s">
        <v>1388</v>
      </c>
    </row>
    <row r="311" spans="1:8" x14ac:dyDescent="0.25">
      <c r="A311" t="s">
        <v>1136</v>
      </c>
      <c r="B311" t="s">
        <v>839</v>
      </c>
      <c r="C311" t="s">
        <v>840</v>
      </c>
      <c r="D311" t="s">
        <v>14</v>
      </c>
      <c r="E311">
        <v>778029.49</v>
      </c>
      <c r="F311">
        <v>75</v>
      </c>
      <c r="G311">
        <v>58352211.75</v>
      </c>
      <c r="H311" t="s">
        <v>1388</v>
      </c>
    </row>
    <row r="312" spans="1:8" x14ac:dyDescent="0.25">
      <c r="A312" t="s">
        <v>1136</v>
      </c>
      <c r="B312" t="s">
        <v>667</v>
      </c>
      <c r="C312" t="s">
        <v>668</v>
      </c>
      <c r="D312" t="s">
        <v>26</v>
      </c>
      <c r="E312">
        <v>3792703.29</v>
      </c>
      <c r="F312">
        <v>17</v>
      </c>
      <c r="G312">
        <v>64475955.93</v>
      </c>
      <c r="H312" t="s">
        <v>1388</v>
      </c>
    </row>
    <row r="313" spans="1:8" x14ac:dyDescent="0.25">
      <c r="A313" t="s">
        <v>1137</v>
      </c>
      <c r="B313" t="s">
        <v>915</v>
      </c>
      <c r="C313" t="s">
        <v>916</v>
      </c>
      <c r="D313" t="s">
        <v>10</v>
      </c>
      <c r="E313">
        <v>637699.19999999995</v>
      </c>
      <c r="F313">
        <v>27</v>
      </c>
      <c r="G313">
        <v>17217878.399999999</v>
      </c>
      <c r="H313" t="s">
        <v>1388</v>
      </c>
    </row>
    <row r="314" spans="1:8" x14ac:dyDescent="0.25">
      <c r="A314" t="s">
        <v>1137</v>
      </c>
      <c r="B314" t="s">
        <v>311</v>
      </c>
      <c r="C314" t="s">
        <v>312</v>
      </c>
      <c r="D314" t="s">
        <v>26</v>
      </c>
      <c r="E314">
        <v>1844408.15</v>
      </c>
      <c r="F314">
        <v>35</v>
      </c>
      <c r="G314">
        <v>64554285.25</v>
      </c>
      <c r="H314" t="s">
        <v>1388</v>
      </c>
    </row>
    <row r="315" spans="1:8" x14ac:dyDescent="0.25">
      <c r="A315" t="s">
        <v>1137</v>
      </c>
      <c r="B315" t="s">
        <v>1011</v>
      </c>
      <c r="C315" t="s">
        <v>1012</v>
      </c>
      <c r="D315" t="s">
        <v>26</v>
      </c>
      <c r="E315">
        <v>1944624.51</v>
      </c>
      <c r="F315">
        <v>7</v>
      </c>
      <c r="G315">
        <v>13612371.57</v>
      </c>
      <c r="H315" t="s">
        <v>1388</v>
      </c>
    </row>
    <row r="316" spans="1:8" x14ac:dyDescent="0.25">
      <c r="A316" t="s">
        <v>1137</v>
      </c>
      <c r="B316" t="s">
        <v>795</v>
      </c>
      <c r="C316" t="s">
        <v>796</v>
      </c>
      <c r="D316" t="s">
        <v>10</v>
      </c>
      <c r="E316">
        <v>711398</v>
      </c>
      <c r="F316">
        <v>30</v>
      </c>
      <c r="G316">
        <v>21341940</v>
      </c>
      <c r="H316" t="s">
        <v>1388</v>
      </c>
    </row>
    <row r="317" spans="1:8" x14ac:dyDescent="0.25">
      <c r="A317" t="s">
        <v>1138</v>
      </c>
      <c r="B317" t="s">
        <v>353</v>
      </c>
      <c r="C317" t="s">
        <v>354</v>
      </c>
      <c r="D317" t="s">
        <v>14</v>
      </c>
      <c r="E317">
        <v>783741.75</v>
      </c>
      <c r="F317">
        <v>50</v>
      </c>
      <c r="G317">
        <v>39187087.5</v>
      </c>
      <c r="H317" t="s">
        <v>1388</v>
      </c>
    </row>
    <row r="318" spans="1:8" x14ac:dyDescent="0.25">
      <c r="A318" t="s">
        <v>1138</v>
      </c>
      <c r="B318" t="s">
        <v>123</v>
      </c>
      <c r="C318" t="s">
        <v>124</v>
      </c>
      <c r="D318" t="s">
        <v>19</v>
      </c>
      <c r="E318">
        <v>500387.02</v>
      </c>
      <c r="F318">
        <v>1</v>
      </c>
      <c r="G318">
        <v>500387.02</v>
      </c>
      <c r="H318" t="s">
        <v>1388</v>
      </c>
    </row>
    <row r="319" spans="1:8" x14ac:dyDescent="0.25">
      <c r="A319" t="s">
        <v>1140</v>
      </c>
      <c r="B319" t="s">
        <v>295</v>
      </c>
      <c r="C319" t="s">
        <v>296</v>
      </c>
      <c r="D319" t="s">
        <v>19</v>
      </c>
      <c r="E319">
        <v>666798.06999999995</v>
      </c>
      <c r="F319">
        <v>27</v>
      </c>
      <c r="G319">
        <v>18003547.890000001</v>
      </c>
      <c r="H319" t="s">
        <v>1388</v>
      </c>
    </row>
    <row r="320" spans="1:8" x14ac:dyDescent="0.25">
      <c r="A320" t="s">
        <v>1140</v>
      </c>
      <c r="B320" t="s">
        <v>547</v>
      </c>
      <c r="C320" t="s">
        <v>548</v>
      </c>
      <c r="D320" t="s">
        <v>19</v>
      </c>
      <c r="E320">
        <v>575408.81999999995</v>
      </c>
      <c r="F320">
        <v>33</v>
      </c>
      <c r="G320">
        <v>18988491.059999999</v>
      </c>
      <c r="H320" t="s">
        <v>1388</v>
      </c>
    </row>
    <row r="321" spans="1:8" x14ac:dyDescent="0.25">
      <c r="A321" t="s">
        <v>1141</v>
      </c>
      <c r="B321" t="s">
        <v>165</v>
      </c>
      <c r="C321" t="s">
        <v>166</v>
      </c>
      <c r="D321" t="s">
        <v>26</v>
      </c>
      <c r="E321">
        <v>2611914.46</v>
      </c>
      <c r="F321">
        <v>19</v>
      </c>
      <c r="G321">
        <v>49626374.740000002</v>
      </c>
      <c r="H321" t="s">
        <v>1388</v>
      </c>
    </row>
    <row r="322" spans="1:8" x14ac:dyDescent="0.25">
      <c r="A322" t="s">
        <v>1141</v>
      </c>
      <c r="B322" t="s">
        <v>421</v>
      </c>
      <c r="C322" t="s">
        <v>422</v>
      </c>
      <c r="D322" t="s">
        <v>14</v>
      </c>
      <c r="E322">
        <v>457322.65</v>
      </c>
      <c r="F322">
        <v>34</v>
      </c>
      <c r="G322">
        <v>15548970.1</v>
      </c>
      <c r="H322" t="s">
        <v>1388</v>
      </c>
    </row>
    <row r="323" spans="1:8" x14ac:dyDescent="0.25">
      <c r="A323" t="s">
        <v>1142</v>
      </c>
      <c r="B323" t="s">
        <v>679</v>
      </c>
      <c r="C323" t="s">
        <v>680</v>
      </c>
      <c r="D323" t="s">
        <v>19</v>
      </c>
      <c r="E323">
        <v>1762156.51</v>
      </c>
      <c r="F323">
        <v>66</v>
      </c>
      <c r="G323">
        <v>116302329.66</v>
      </c>
      <c r="H323" t="s">
        <v>1388</v>
      </c>
    </row>
    <row r="324" spans="1:8" x14ac:dyDescent="0.25">
      <c r="A324" t="s">
        <v>1142</v>
      </c>
      <c r="B324" t="s">
        <v>471</v>
      </c>
      <c r="C324" t="s">
        <v>472</v>
      </c>
      <c r="D324" t="s">
        <v>19</v>
      </c>
      <c r="E324">
        <v>620647.43000000005</v>
      </c>
      <c r="F324">
        <v>50</v>
      </c>
      <c r="G324">
        <v>31032371.5</v>
      </c>
      <c r="H324" t="s">
        <v>1388</v>
      </c>
    </row>
    <row r="325" spans="1:8" x14ac:dyDescent="0.25">
      <c r="A325" t="s">
        <v>1142</v>
      </c>
      <c r="B325" t="s">
        <v>295</v>
      </c>
      <c r="C325" t="s">
        <v>296</v>
      </c>
      <c r="D325" t="s">
        <v>19</v>
      </c>
      <c r="E325">
        <v>643824.53</v>
      </c>
      <c r="F325">
        <v>25</v>
      </c>
      <c r="G325">
        <v>16095613.25</v>
      </c>
      <c r="H325" t="s">
        <v>1388</v>
      </c>
    </row>
    <row r="326" spans="1:8" x14ac:dyDescent="0.25">
      <c r="A326" t="s">
        <v>1142</v>
      </c>
      <c r="B326" t="s">
        <v>545</v>
      </c>
      <c r="C326" t="s">
        <v>546</v>
      </c>
      <c r="D326" t="s">
        <v>19</v>
      </c>
      <c r="E326">
        <v>147612.5</v>
      </c>
      <c r="F326">
        <v>48</v>
      </c>
      <c r="G326">
        <v>7085400</v>
      </c>
      <c r="H326" t="s">
        <v>1388</v>
      </c>
    </row>
    <row r="327" spans="1:8" x14ac:dyDescent="0.25">
      <c r="A327" t="s">
        <v>1142</v>
      </c>
      <c r="B327" t="s">
        <v>379</v>
      </c>
      <c r="C327" t="s">
        <v>380</v>
      </c>
      <c r="D327" t="s">
        <v>10</v>
      </c>
      <c r="E327">
        <v>331028.67</v>
      </c>
      <c r="F327">
        <v>30</v>
      </c>
      <c r="G327">
        <v>9930860.0999999996</v>
      </c>
      <c r="H327" t="s">
        <v>1388</v>
      </c>
    </row>
    <row r="328" spans="1:8" x14ac:dyDescent="0.25">
      <c r="A328" t="s">
        <v>1414</v>
      </c>
      <c r="B328" t="s">
        <v>345</v>
      </c>
      <c r="C328" t="s">
        <v>346</v>
      </c>
      <c r="D328" t="s">
        <v>14</v>
      </c>
      <c r="E328">
        <v>960643.6</v>
      </c>
      <c r="F328">
        <v>27</v>
      </c>
      <c r="G328">
        <v>25937377.199999999</v>
      </c>
      <c r="H328" t="s">
        <v>1388</v>
      </c>
    </row>
    <row r="329" spans="1:8" x14ac:dyDescent="0.25">
      <c r="A329" t="s">
        <v>1414</v>
      </c>
      <c r="B329" t="s">
        <v>319</v>
      </c>
      <c r="C329" t="s">
        <v>320</v>
      </c>
      <c r="D329" t="s">
        <v>14</v>
      </c>
      <c r="E329">
        <v>1146674.92</v>
      </c>
      <c r="F329">
        <v>62</v>
      </c>
      <c r="G329">
        <v>71093845.040000007</v>
      </c>
      <c r="H329" t="s">
        <v>1388</v>
      </c>
    </row>
    <row r="330" spans="1:8" x14ac:dyDescent="0.25">
      <c r="A330" t="s">
        <v>1414</v>
      </c>
      <c r="B330" t="s">
        <v>317</v>
      </c>
      <c r="C330" t="s">
        <v>318</v>
      </c>
      <c r="D330" t="s">
        <v>26</v>
      </c>
      <c r="E330">
        <v>2191988.04</v>
      </c>
      <c r="F330">
        <v>78</v>
      </c>
      <c r="G330">
        <v>170975067.12</v>
      </c>
      <c r="H330" t="s">
        <v>1388</v>
      </c>
    </row>
    <row r="331" spans="1:8" x14ac:dyDescent="0.25">
      <c r="A331" t="s">
        <v>1143</v>
      </c>
      <c r="B331" t="s">
        <v>353</v>
      </c>
      <c r="C331" t="s">
        <v>354</v>
      </c>
      <c r="D331" t="s">
        <v>14</v>
      </c>
      <c r="E331">
        <v>765923.6</v>
      </c>
      <c r="F331">
        <v>68</v>
      </c>
      <c r="G331">
        <v>52082804.799999997</v>
      </c>
      <c r="H331" t="s">
        <v>1388</v>
      </c>
    </row>
    <row r="332" spans="1:8" x14ac:dyDescent="0.25">
      <c r="A332" t="s">
        <v>1145</v>
      </c>
      <c r="B332" t="s">
        <v>517</v>
      </c>
      <c r="C332" t="s">
        <v>518</v>
      </c>
      <c r="D332" t="s">
        <v>26</v>
      </c>
      <c r="E332">
        <v>2778980.02</v>
      </c>
      <c r="F332">
        <v>77</v>
      </c>
      <c r="G332">
        <v>213981461.53999999</v>
      </c>
      <c r="H332" t="s">
        <v>1388</v>
      </c>
    </row>
    <row r="333" spans="1:8" x14ac:dyDescent="0.25">
      <c r="A333" t="s">
        <v>1145</v>
      </c>
      <c r="B333" t="s">
        <v>365</v>
      </c>
      <c r="C333" t="s">
        <v>366</v>
      </c>
      <c r="D333" t="s">
        <v>10</v>
      </c>
      <c r="E333">
        <v>89727.64</v>
      </c>
      <c r="F333">
        <v>48</v>
      </c>
      <c r="G333">
        <v>4306926.72</v>
      </c>
      <c r="H333" t="s">
        <v>1388</v>
      </c>
    </row>
    <row r="334" spans="1:8" x14ac:dyDescent="0.25">
      <c r="A334" t="s">
        <v>1145</v>
      </c>
      <c r="B334" t="s">
        <v>67</v>
      </c>
      <c r="C334" t="s">
        <v>68</v>
      </c>
      <c r="D334" t="s">
        <v>19</v>
      </c>
      <c r="E334">
        <v>464061.48</v>
      </c>
      <c r="F334">
        <v>36</v>
      </c>
      <c r="G334">
        <v>16706213.279999999</v>
      </c>
      <c r="H334" t="s">
        <v>1388</v>
      </c>
    </row>
    <row r="335" spans="1:8" x14ac:dyDescent="0.25">
      <c r="A335" t="s">
        <v>1145</v>
      </c>
      <c r="B335" t="s">
        <v>409</v>
      </c>
      <c r="C335" t="s">
        <v>410</v>
      </c>
      <c r="D335" t="s">
        <v>10</v>
      </c>
      <c r="E335">
        <v>1419042.16</v>
      </c>
      <c r="F335">
        <v>3</v>
      </c>
      <c r="G335">
        <v>4257126.4800000004</v>
      </c>
      <c r="H335" t="s">
        <v>1388</v>
      </c>
    </row>
    <row r="336" spans="1:8" x14ac:dyDescent="0.25">
      <c r="A336" t="s">
        <v>1146</v>
      </c>
      <c r="B336" t="s">
        <v>495</v>
      </c>
      <c r="C336" t="s">
        <v>496</v>
      </c>
      <c r="D336" t="s">
        <v>10</v>
      </c>
      <c r="E336">
        <v>330026.39</v>
      </c>
      <c r="F336">
        <v>25</v>
      </c>
      <c r="G336">
        <v>8250659.75</v>
      </c>
      <c r="H336" t="s">
        <v>1388</v>
      </c>
    </row>
    <row r="337" spans="1:8" x14ac:dyDescent="0.25">
      <c r="A337" t="s">
        <v>1146</v>
      </c>
      <c r="B337" t="s">
        <v>363</v>
      </c>
      <c r="C337" t="s">
        <v>364</v>
      </c>
      <c r="D337" t="s">
        <v>14</v>
      </c>
      <c r="E337">
        <v>359383.35</v>
      </c>
      <c r="F337">
        <v>36</v>
      </c>
      <c r="G337">
        <v>12937800.6</v>
      </c>
      <c r="H337" t="s">
        <v>1388</v>
      </c>
    </row>
    <row r="338" spans="1:8" x14ac:dyDescent="0.25">
      <c r="A338" t="s">
        <v>1146</v>
      </c>
      <c r="B338" t="s">
        <v>753</v>
      </c>
      <c r="C338" t="s">
        <v>754</v>
      </c>
      <c r="D338" t="s">
        <v>26</v>
      </c>
      <c r="E338">
        <v>464022.45</v>
      </c>
      <c r="F338">
        <v>30</v>
      </c>
      <c r="G338">
        <v>13920673.5</v>
      </c>
      <c r="H338" t="s">
        <v>1388</v>
      </c>
    </row>
    <row r="339" spans="1:8" x14ac:dyDescent="0.25">
      <c r="A339" t="s">
        <v>1146</v>
      </c>
      <c r="B339" t="s">
        <v>345</v>
      </c>
      <c r="C339" t="s">
        <v>346</v>
      </c>
      <c r="D339" t="s">
        <v>14</v>
      </c>
      <c r="E339">
        <v>949472.23</v>
      </c>
      <c r="F339">
        <v>72</v>
      </c>
      <c r="G339">
        <v>68362000.560000002</v>
      </c>
      <c r="H339" t="s">
        <v>1388</v>
      </c>
    </row>
    <row r="340" spans="1:8" x14ac:dyDescent="0.25">
      <c r="A340" t="s">
        <v>1147</v>
      </c>
      <c r="B340" t="s">
        <v>193</v>
      </c>
      <c r="C340" t="s">
        <v>194</v>
      </c>
      <c r="D340" t="s">
        <v>14</v>
      </c>
      <c r="E340">
        <v>362779.08</v>
      </c>
      <c r="F340">
        <v>25</v>
      </c>
      <c r="G340">
        <v>9069477</v>
      </c>
      <c r="H340" t="s">
        <v>1388</v>
      </c>
    </row>
    <row r="341" spans="1:8" x14ac:dyDescent="0.25">
      <c r="A341" t="s">
        <v>1148</v>
      </c>
      <c r="B341" t="s">
        <v>995</v>
      </c>
      <c r="C341" t="s">
        <v>996</v>
      </c>
      <c r="D341" t="s">
        <v>19</v>
      </c>
      <c r="E341">
        <v>629840.28</v>
      </c>
      <c r="F341">
        <v>73</v>
      </c>
      <c r="G341">
        <v>45978340.439999998</v>
      </c>
      <c r="H341" t="s">
        <v>1388</v>
      </c>
    </row>
    <row r="342" spans="1:8" x14ac:dyDescent="0.25">
      <c r="A342" t="s">
        <v>1148</v>
      </c>
      <c r="B342" t="s">
        <v>793</v>
      </c>
      <c r="C342" t="s">
        <v>794</v>
      </c>
      <c r="D342" t="s">
        <v>26</v>
      </c>
      <c r="E342">
        <v>468725.3</v>
      </c>
      <c r="F342">
        <v>53</v>
      </c>
      <c r="G342">
        <v>24842440.899999999</v>
      </c>
      <c r="H342" t="s">
        <v>1388</v>
      </c>
    </row>
    <row r="343" spans="1:8" x14ac:dyDescent="0.25">
      <c r="A343" t="s">
        <v>1149</v>
      </c>
      <c r="B343" t="s">
        <v>687</v>
      </c>
      <c r="C343" t="s">
        <v>688</v>
      </c>
      <c r="D343" t="s">
        <v>19</v>
      </c>
      <c r="E343">
        <v>1959436.58</v>
      </c>
      <c r="F343">
        <v>22</v>
      </c>
      <c r="G343">
        <v>43107604.759999998</v>
      </c>
      <c r="H343" t="s">
        <v>1388</v>
      </c>
    </row>
    <row r="344" spans="1:8" x14ac:dyDescent="0.25">
      <c r="A344" t="s">
        <v>1149</v>
      </c>
      <c r="B344" t="s">
        <v>657</v>
      </c>
      <c r="C344" t="s">
        <v>658</v>
      </c>
      <c r="D344" t="s">
        <v>19</v>
      </c>
      <c r="E344">
        <v>849327.28</v>
      </c>
      <c r="F344">
        <v>23</v>
      </c>
      <c r="G344">
        <v>19534527.440000001</v>
      </c>
      <c r="H344" t="s">
        <v>1388</v>
      </c>
    </row>
    <row r="345" spans="1:8" x14ac:dyDescent="0.25">
      <c r="A345" t="s">
        <v>1150</v>
      </c>
      <c r="B345" t="s">
        <v>51</v>
      </c>
      <c r="C345" t="s">
        <v>52</v>
      </c>
      <c r="D345" t="s">
        <v>14</v>
      </c>
      <c r="E345">
        <v>416859.3</v>
      </c>
      <c r="F345">
        <v>65</v>
      </c>
      <c r="G345">
        <v>27095854.5</v>
      </c>
      <c r="H345" t="s">
        <v>1388</v>
      </c>
    </row>
    <row r="346" spans="1:8" x14ac:dyDescent="0.25">
      <c r="A346" t="s">
        <v>1150</v>
      </c>
      <c r="B346" t="s">
        <v>721</v>
      </c>
      <c r="C346" t="s">
        <v>722</v>
      </c>
      <c r="D346" t="s">
        <v>10</v>
      </c>
      <c r="E346">
        <v>850884.03</v>
      </c>
      <c r="F346">
        <v>48</v>
      </c>
      <c r="G346">
        <v>40842433.439999998</v>
      </c>
      <c r="H346" t="s">
        <v>1388</v>
      </c>
    </row>
    <row r="347" spans="1:8" x14ac:dyDescent="0.25">
      <c r="A347" t="s">
        <v>1150</v>
      </c>
      <c r="B347" t="s">
        <v>465</v>
      </c>
      <c r="C347" t="s">
        <v>466</v>
      </c>
      <c r="D347" t="s">
        <v>26</v>
      </c>
      <c r="E347">
        <v>2111675.14</v>
      </c>
      <c r="F347">
        <v>7</v>
      </c>
      <c r="G347">
        <v>14781725.98</v>
      </c>
      <c r="H347" t="s">
        <v>1388</v>
      </c>
    </row>
    <row r="348" spans="1:8" x14ac:dyDescent="0.25">
      <c r="A348" t="s">
        <v>1151</v>
      </c>
      <c r="B348" t="s">
        <v>947</v>
      </c>
      <c r="C348" t="s">
        <v>948</v>
      </c>
      <c r="D348" t="s">
        <v>26</v>
      </c>
      <c r="E348">
        <v>1358614.75</v>
      </c>
      <c r="F348">
        <v>52</v>
      </c>
      <c r="G348">
        <v>70647967</v>
      </c>
      <c r="H348" t="s">
        <v>1388</v>
      </c>
    </row>
    <row r="349" spans="1:8" x14ac:dyDescent="0.25">
      <c r="A349" t="s">
        <v>1151</v>
      </c>
      <c r="B349" t="s">
        <v>563</v>
      </c>
      <c r="C349" t="s">
        <v>564</v>
      </c>
      <c r="D349" t="s">
        <v>10</v>
      </c>
      <c r="E349">
        <v>948288.66</v>
      </c>
      <c r="F349">
        <v>63</v>
      </c>
      <c r="G349">
        <v>59742185.579999998</v>
      </c>
      <c r="H349" t="s">
        <v>1388</v>
      </c>
    </row>
    <row r="350" spans="1:8" x14ac:dyDescent="0.25">
      <c r="A350" t="s">
        <v>1152</v>
      </c>
      <c r="B350" t="s">
        <v>131</v>
      </c>
      <c r="C350" t="s">
        <v>132</v>
      </c>
      <c r="D350" t="s">
        <v>26</v>
      </c>
      <c r="E350">
        <v>2510211.02</v>
      </c>
      <c r="F350">
        <v>28</v>
      </c>
      <c r="G350">
        <v>70285908.560000002</v>
      </c>
      <c r="H350" t="s">
        <v>1388</v>
      </c>
    </row>
    <row r="351" spans="1:8" x14ac:dyDescent="0.25">
      <c r="A351" t="s">
        <v>1153</v>
      </c>
      <c r="B351" t="s">
        <v>589</v>
      </c>
      <c r="C351" t="s">
        <v>590</v>
      </c>
      <c r="D351" t="s">
        <v>26</v>
      </c>
      <c r="E351">
        <v>1539970.31</v>
      </c>
      <c r="F351">
        <v>43</v>
      </c>
      <c r="G351">
        <v>66218723.329999998</v>
      </c>
      <c r="H351" t="s">
        <v>1388</v>
      </c>
    </row>
    <row r="352" spans="1:8" x14ac:dyDescent="0.25">
      <c r="A352" t="s">
        <v>1153</v>
      </c>
      <c r="B352" t="s">
        <v>439</v>
      </c>
      <c r="C352" t="s">
        <v>440</v>
      </c>
      <c r="D352" t="s">
        <v>14</v>
      </c>
      <c r="E352">
        <v>1014034.99</v>
      </c>
      <c r="F352">
        <v>56</v>
      </c>
      <c r="G352">
        <v>56785959.439999998</v>
      </c>
      <c r="H352" t="s">
        <v>1388</v>
      </c>
    </row>
    <row r="353" spans="1:8" x14ac:dyDescent="0.25">
      <c r="A353" t="s">
        <v>1153</v>
      </c>
      <c r="B353" t="s">
        <v>827</v>
      </c>
      <c r="C353" t="s">
        <v>828</v>
      </c>
      <c r="D353" t="s">
        <v>26</v>
      </c>
      <c r="E353">
        <v>2104508.21</v>
      </c>
      <c r="F353">
        <v>23</v>
      </c>
      <c r="G353">
        <v>48403688.829999998</v>
      </c>
      <c r="H353" t="s">
        <v>1388</v>
      </c>
    </row>
    <row r="354" spans="1:8" x14ac:dyDescent="0.25">
      <c r="A354" t="s">
        <v>1153</v>
      </c>
      <c r="B354" t="s">
        <v>79</v>
      </c>
      <c r="C354" t="s">
        <v>80</v>
      </c>
      <c r="D354" t="s">
        <v>14</v>
      </c>
      <c r="E354">
        <v>247312.43</v>
      </c>
      <c r="F354">
        <v>14</v>
      </c>
      <c r="G354">
        <v>3462374.02</v>
      </c>
      <c r="H354" t="s">
        <v>1388</v>
      </c>
    </row>
    <row r="355" spans="1:8" x14ac:dyDescent="0.25">
      <c r="A355" t="s">
        <v>1153</v>
      </c>
      <c r="B355" t="s">
        <v>1001</v>
      </c>
      <c r="C355" t="s">
        <v>1002</v>
      </c>
      <c r="D355" t="s">
        <v>19</v>
      </c>
      <c r="E355">
        <v>2030858.17</v>
      </c>
      <c r="F355">
        <v>60</v>
      </c>
      <c r="G355">
        <v>121851490.2</v>
      </c>
      <c r="H355" t="s">
        <v>1388</v>
      </c>
    </row>
    <row r="356" spans="1:8" x14ac:dyDescent="0.25">
      <c r="A356" t="s">
        <v>1154</v>
      </c>
      <c r="B356" t="s">
        <v>779</v>
      </c>
      <c r="C356" t="s">
        <v>780</v>
      </c>
      <c r="D356" t="s">
        <v>26</v>
      </c>
      <c r="E356">
        <v>988196.06</v>
      </c>
      <c r="F356">
        <v>34</v>
      </c>
      <c r="G356">
        <v>33598666.039999999</v>
      </c>
      <c r="H356" t="s">
        <v>1388</v>
      </c>
    </row>
    <row r="357" spans="1:8" x14ac:dyDescent="0.25">
      <c r="A357" t="s">
        <v>1154</v>
      </c>
      <c r="B357" t="s">
        <v>781</v>
      </c>
      <c r="C357" t="s">
        <v>782</v>
      </c>
      <c r="D357" t="s">
        <v>14</v>
      </c>
      <c r="E357">
        <v>1150484.58</v>
      </c>
      <c r="F357">
        <v>36</v>
      </c>
      <c r="G357">
        <v>41417444.880000003</v>
      </c>
      <c r="H357" t="s">
        <v>1388</v>
      </c>
    </row>
    <row r="358" spans="1:8" x14ac:dyDescent="0.25">
      <c r="A358" t="s">
        <v>1155</v>
      </c>
      <c r="B358" t="s">
        <v>37</v>
      </c>
      <c r="C358" t="s">
        <v>38</v>
      </c>
      <c r="D358" t="s">
        <v>14</v>
      </c>
      <c r="E358">
        <v>1066432.5900000001</v>
      </c>
      <c r="F358">
        <v>15</v>
      </c>
      <c r="G358">
        <v>15996488.85</v>
      </c>
      <c r="H358" t="s">
        <v>1388</v>
      </c>
    </row>
    <row r="359" spans="1:8" x14ac:dyDescent="0.25">
      <c r="A359" t="s">
        <v>1155</v>
      </c>
      <c r="B359" t="s">
        <v>325</v>
      </c>
      <c r="C359" t="s">
        <v>326</v>
      </c>
      <c r="D359" t="s">
        <v>19</v>
      </c>
      <c r="E359">
        <v>466593.37</v>
      </c>
      <c r="F359">
        <v>70</v>
      </c>
      <c r="G359">
        <v>32661535.899999999</v>
      </c>
      <c r="H359" t="s">
        <v>1388</v>
      </c>
    </row>
    <row r="360" spans="1:8" x14ac:dyDescent="0.25">
      <c r="A360" t="s">
        <v>1156</v>
      </c>
      <c r="B360" t="s">
        <v>583</v>
      </c>
      <c r="C360" t="s">
        <v>584</v>
      </c>
      <c r="D360" t="s">
        <v>10</v>
      </c>
      <c r="E360">
        <v>1007738.84</v>
      </c>
      <c r="F360">
        <v>42</v>
      </c>
      <c r="G360">
        <v>42325031.280000001</v>
      </c>
      <c r="H360" t="s">
        <v>1388</v>
      </c>
    </row>
    <row r="361" spans="1:8" x14ac:dyDescent="0.25">
      <c r="A361" t="s">
        <v>1157</v>
      </c>
      <c r="B361" t="s">
        <v>31</v>
      </c>
      <c r="C361" t="s">
        <v>32</v>
      </c>
      <c r="D361" t="s">
        <v>26</v>
      </c>
      <c r="E361">
        <v>3433343.34</v>
      </c>
      <c r="F361">
        <v>67</v>
      </c>
      <c r="G361">
        <v>230034003.78</v>
      </c>
      <c r="H361" t="s">
        <v>1388</v>
      </c>
    </row>
    <row r="362" spans="1:8" x14ac:dyDescent="0.25">
      <c r="A362" t="s">
        <v>1158</v>
      </c>
      <c r="B362" t="s">
        <v>203</v>
      </c>
      <c r="C362" t="s">
        <v>204</v>
      </c>
      <c r="D362" t="s">
        <v>10</v>
      </c>
      <c r="E362">
        <v>1215260.04</v>
      </c>
      <c r="F362">
        <v>60</v>
      </c>
      <c r="G362">
        <v>72915602.400000006</v>
      </c>
      <c r="H362" t="s">
        <v>1388</v>
      </c>
    </row>
    <row r="363" spans="1:8" x14ac:dyDescent="0.25">
      <c r="A363" t="s">
        <v>1158</v>
      </c>
      <c r="B363" t="s">
        <v>273</v>
      </c>
      <c r="C363" t="s">
        <v>274</v>
      </c>
      <c r="D363" t="s">
        <v>10</v>
      </c>
      <c r="E363">
        <v>1222135.71</v>
      </c>
      <c r="F363">
        <v>78</v>
      </c>
      <c r="G363">
        <v>95326585.379999995</v>
      </c>
      <c r="H363" t="s">
        <v>1388</v>
      </c>
    </row>
    <row r="364" spans="1:8" x14ac:dyDescent="0.25">
      <c r="A364" t="s">
        <v>1158</v>
      </c>
      <c r="B364" t="s">
        <v>625</v>
      </c>
      <c r="C364" t="s">
        <v>626</v>
      </c>
      <c r="D364" t="s">
        <v>19</v>
      </c>
      <c r="E364">
        <v>1165369.8899999999</v>
      </c>
      <c r="F364">
        <v>34</v>
      </c>
      <c r="G364">
        <v>39622576.259999998</v>
      </c>
      <c r="H364" t="s">
        <v>1388</v>
      </c>
    </row>
    <row r="365" spans="1:8" x14ac:dyDescent="0.25">
      <c r="A365" t="s">
        <v>1158</v>
      </c>
      <c r="B365" t="s">
        <v>125</v>
      </c>
      <c r="C365" t="s">
        <v>126</v>
      </c>
      <c r="D365" t="s">
        <v>14</v>
      </c>
      <c r="E365">
        <v>414576.43</v>
      </c>
      <c r="F365">
        <v>45</v>
      </c>
      <c r="G365">
        <v>18655939.350000001</v>
      </c>
      <c r="H365" t="s">
        <v>1388</v>
      </c>
    </row>
    <row r="366" spans="1:8" x14ac:dyDescent="0.25">
      <c r="A366" t="s">
        <v>1158</v>
      </c>
      <c r="B366" t="s">
        <v>575</v>
      </c>
      <c r="C366" t="s">
        <v>576</v>
      </c>
      <c r="D366" t="s">
        <v>10</v>
      </c>
      <c r="E366">
        <v>599447.91</v>
      </c>
      <c r="F366">
        <v>64</v>
      </c>
      <c r="G366">
        <v>38364666.240000002</v>
      </c>
      <c r="H366" t="s">
        <v>1388</v>
      </c>
    </row>
    <row r="367" spans="1:8" x14ac:dyDescent="0.25">
      <c r="A367" t="s">
        <v>1158</v>
      </c>
      <c r="B367" t="s">
        <v>571</v>
      </c>
      <c r="C367" t="s">
        <v>572</v>
      </c>
      <c r="D367" t="s">
        <v>26</v>
      </c>
      <c r="E367">
        <v>1882074.2</v>
      </c>
      <c r="F367">
        <v>38</v>
      </c>
      <c r="G367">
        <v>71518819.599999994</v>
      </c>
      <c r="H367" t="s">
        <v>1388</v>
      </c>
    </row>
    <row r="368" spans="1:8" x14ac:dyDescent="0.25">
      <c r="A368" t="s">
        <v>1159</v>
      </c>
      <c r="B368" t="s">
        <v>201</v>
      </c>
      <c r="C368" t="s">
        <v>202</v>
      </c>
      <c r="D368" t="s">
        <v>14</v>
      </c>
      <c r="E368">
        <v>703981.66</v>
      </c>
      <c r="F368">
        <v>38</v>
      </c>
      <c r="G368">
        <v>26751303.079999998</v>
      </c>
      <c r="H368" t="s">
        <v>1388</v>
      </c>
    </row>
    <row r="369" spans="1:8" x14ac:dyDescent="0.25">
      <c r="A369" t="s">
        <v>1160</v>
      </c>
      <c r="B369" t="s">
        <v>397</v>
      </c>
      <c r="C369" t="s">
        <v>398</v>
      </c>
      <c r="D369" t="s">
        <v>26</v>
      </c>
      <c r="E369">
        <v>1049106.05</v>
      </c>
      <c r="F369">
        <v>10</v>
      </c>
      <c r="G369">
        <v>10491060.5</v>
      </c>
      <c r="H369" t="s">
        <v>1388</v>
      </c>
    </row>
    <row r="370" spans="1:8" x14ac:dyDescent="0.25">
      <c r="A370" t="s">
        <v>1160</v>
      </c>
      <c r="B370" t="s">
        <v>885</v>
      </c>
      <c r="C370" t="s">
        <v>886</v>
      </c>
      <c r="D370" t="s">
        <v>10</v>
      </c>
      <c r="E370">
        <v>1477285.01</v>
      </c>
      <c r="F370">
        <v>75</v>
      </c>
      <c r="G370">
        <v>110796375.75</v>
      </c>
      <c r="H370" t="s">
        <v>1388</v>
      </c>
    </row>
    <row r="371" spans="1:8" x14ac:dyDescent="0.25">
      <c r="A371" t="s">
        <v>1160</v>
      </c>
      <c r="B371" t="s">
        <v>867</v>
      </c>
      <c r="C371" t="s">
        <v>868</v>
      </c>
      <c r="D371" t="s">
        <v>10</v>
      </c>
      <c r="E371">
        <v>1312411.26</v>
      </c>
      <c r="F371">
        <v>60</v>
      </c>
      <c r="G371">
        <v>78744675.599999994</v>
      </c>
      <c r="H371" t="s">
        <v>1388</v>
      </c>
    </row>
    <row r="372" spans="1:8" x14ac:dyDescent="0.25">
      <c r="A372" t="s">
        <v>1160</v>
      </c>
      <c r="B372" t="s">
        <v>997</v>
      </c>
      <c r="C372" t="s">
        <v>998</v>
      </c>
      <c r="D372" t="s">
        <v>10</v>
      </c>
      <c r="E372">
        <v>531156.88</v>
      </c>
      <c r="F372">
        <v>69</v>
      </c>
      <c r="G372">
        <v>36649824.719999999</v>
      </c>
      <c r="H372" t="s">
        <v>1388</v>
      </c>
    </row>
    <row r="373" spans="1:8" x14ac:dyDescent="0.25">
      <c r="A373" t="s">
        <v>1160</v>
      </c>
      <c r="B373" t="s">
        <v>915</v>
      </c>
      <c r="C373" t="s">
        <v>916</v>
      </c>
      <c r="D373" t="s">
        <v>10</v>
      </c>
      <c r="E373">
        <v>638843.68000000005</v>
      </c>
      <c r="F373">
        <v>14</v>
      </c>
      <c r="G373">
        <v>8943811.5199999996</v>
      </c>
      <c r="H373" t="s">
        <v>1388</v>
      </c>
    </row>
    <row r="374" spans="1:8" x14ac:dyDescent="0.25">
      <c r="A374" t="s">
        <v>1161</v>
      </c>
      <c r="B374" t="s">
        <v>113</v>
      </c>
      <c r="C374" t="s">
        <v>114</v>
      </c>
      <c r="D374" t="s">
        <v>19</v>
      </c>
      <c r="E374">
        <v>495544.26</v>
      </c>
      <c r="F374">
        <v>44</v>
      </c>
      <c r="G374">
        <v>21803947.440000001</v>
      </c>
      <c r="H374" t="s">
        <v>1388</v>
      </c>
    </row>
    <row r="375" spans="1:8" x14ac:dyDescent="0.25">
      <c r="A375" t="s">
        <v>1161</v>
      </c>
      <c r="B375" t="s">
        <v>485</v>
      </c>
      <c r="C375" t="s">
        <v>486</v>
      </c>
      <c r="D375" t="s">
        <v>19</v>
      </c>
      <c r="E375">
        <v>1561124.15</v>
      </c>
      <c r="F375">
        <v>12</v>
      </c>
      <c r="G375">
        <v>18733489.800000001</v>
      </c>
      <c r="H375" t="s">
        <v>1388</v>
      </c>
    </row>
    <row r="376" spans="1:8" x14ac:dyDescent="0.25">
      <c r="A376" t="s">
        <v>1415</v>
      </c>
      <c r="B376" t="s">
        <v>677</v>
      </c>
      <c r="C376" t="s">
        <v>678</v>
      </c>
      <c r="D376" t="s">
        <v>26</v>
      </c>
      <c r="E376">
        <v>491916.16</v>
      </c>
      <c r="F376">
        <v>2</v>
      </c>
      <c r="G376">
        <v>983832.32</v>
      </c>
      <c r="H376" t="s">
        <v>1388</v>
      </c>
    </row>
    <row r="377" spans="1:8" x14ac:dyDescent="0.25">
      <c r="A377" t="s">
        <v>1415</v>
      </c>
      <c r="B377" t="s">
        <v>331</v>
      </c>
      <c r="C377" t="s">
        <v>332</v>
      </c>
      <c r="D377" t="s">
        <v>26</v>
      </c>
      <c r="E377">
        <v>447916.67</v>
      </c>
      <c r="F377">
        <v>1</v>
      </c>
      <c r="G377">
        <v>447916.67</v>
      </c>
      <c r="H377" t="s">
        <v>1388</v>
      </c>
    </row>
    <row r="378" spans="1:8" x14ac:dyDescent="0.25">
      <c r="A378" t="s">
        <v>1415</v>
      </c>
      <c r="B378" t="s">
        <v>535</v>
      </c>
      <c r="C378" t="s">
        <v>536</v>
      </c>
      <c r="D378" t="s">
        <v>26</v>
      </c>
      <c r="E378">
        <v>1396148.93</v>
      </c>
      <c r="F378">
        <v>23</v>
      </c>
      <c r="G378">
        <v>32111425.390000001</v>
      </c>
      <c r="H378" t="s">
        <v>1388</v>
      </c>
    </row>
    <row r="379" spans="1:8" x14ac:dyDescent="0.25">
      <c r="A379" t="s">
        <v>1162</v>
      </c>
      <c r="B379" t="s">
        <v>587</v>
      </c>
      <c r="C379" t="s">
        <v>588</v>
      </c>
      <c r="D379" t="s">
        <v>14</v>
      </c>
      <c r="E379">
        <v>1009793.66</v>
      </c>
      <c r="F379">
        <v>43</v>
      </c>
      <c r="G379">
        <v>43421127.380000003</v>
      </c>
      <c r="H379" t="s">
        <v>1388</v>
      </c>
    </row>
    <row r="380" spans="1:8" x14ac:dyDescent="0.25">
      <c r="A380" t="s">
        <v>1162</v>
      </c>
      <c r="B380" t="s">
        <v>319</v>
      </c>
      <c r="C380" t="s">
        <v>320</v>
      </c>
      <c r="D380" t="s">
        <v>14</v>
      </c>
      <c r="E380">
        <v>1094974.6599999999</v>
      </c>
      <c r="F380">
        <v>80</v>
      </c>
      <c r="G380">
        <v>87597972.799999997</v>
      </c>
      <c r="H380" t="s">
        <v>1388</v>
      </c>
    </row>
    <row r="381" spans="1:8" x14ac:dyDescent="0.25">
      <c r="A381" t="s">
        <v>1162</v>
      </c>
      <c r="B381" t="s">
        <v>801</v>
      </c>
      <c r="C381" t="s">
        <v>802</v>
      </c>
      <c r="D381" t="s">
        <v>14</v>
      </c>
      <c r="E381">
        <v>596547.52</v>
      </c>
      <c r="F381">
        <v>30</v>
      </c>
      <c r="G381">
        <v>17896425.600000001</v>
      </c>
      <c r="H381" t="s">
        <v>1388</v>
      </c>
    </row>
    <row r="382" spans="1:8" x14ac:dyDescent="0.25">
      <c r="A382" t="s">
        <v>1162</v>
      </c>
      <c r="B382" t="s">
        <v>837</v>
      </c>
      <c r="C382" t="s">
        <v>838</v>
      </c>
      <c r="D382" t="s">
        <v>26</v>
      </c>
      <c r="E382">
        <v>3506303.03</v>
      </c>
      <c r="F382">
        <v>37</v>
      </c>
      <c r="G382">
        <v>129733212.11</v>
      </c>
      <c r="H382" t="s">
        <v>1388</v>
      </c>
    </row>
    <row r="383" spans="1:8" x14ac:dyDescent="0.25">
      <c r="A383" t="s">
        <v>1163</v>
      </c>
      <c r="B383" t="s">
        <v>985</v>
      </c>
      <c r="C383" t="s">
        <v>986</v>
      </c>
      <c r="D383" t="s">
        <v>26</v>
      </c>
      <c r="E383">
        <v>865319.43</v>
      </c>
      <c r="F383">
        <v>62</v>
      </c>
      <c r="G383">
        <v>53649804.659999996</v>
      </c>
      <c r="H383" t="s">
        <v>1388</v>
      </c>
    </row>
    <row r="384" spans="1:8" x14ac:dyDescent="0.25">
      <c r="A384" t="s">
        <v>1163</v>
      </c>
      <c r="B384" t="s">
        <v>605</v>
      </c>
      <c r="C384" t="s">
        <v>606</v>
      </c>
      <c r="D384" t="s">
        <v>10</v>
      </c>
      <c r="E384">
        <v>392941.54</v>
      </c>
      <c r="F384">
        <v>35</v>
      </c>
      <c r="G384">
        <v>13752953.9</v>
      </c>
      <c r="H384" t="s">
        <v>1388</v>
      </c>
    </row>
    <row r="385" spans="1:8" x14ac:dyDescent="0.25">
      <c r="A385" t="s">
        <v>1164</v>
      </c>
      <c r="B385" t="s">
        <v>77</v>
      </c>
      <c r="C385" t="s">
        <v>78</v>
      </c>
      <c r="D385" t="s">
        <v>10</v>
      </c>
      <c r="E385">
        <v>741966.26</v>
      </c>
      <c r="F385">
        <v>68</v>
      </c>
      <c r="G385">
        <v>50453705.68</v>
      </c>
      <c r="H385" t="s">
        <v>1388</v>
      </c>
    </row>
    <row r="386" spans="1:8" x14ac:dyDescent="0.25">
      <c r="A386" t="s">
        <v>1164</v>
      </c>
      <c r="B386" t="s">
        <v>651</v>
      </c>
      <c r="C386" t="s">
        <v>652</v>
      </c>
      <c r="D386" t="s">
        <v>14</v>
      </c>
      <c r="E386">
        <v>520443.22</v>
      </c>
      <c r="F386">
        <v>61</v>
      </c>
      <c r="G386">
        <v>31747036.420000002</v>
      </c>
      <c r="H386" t="s">
        <v>1388</v>
      </c>
    </row>
    <row r="387" spans="1:8" x14ac:dyDescent="0.25">
      <c r="A387" t="s">
        <v>1164</v>
      </c>
      <c r="B387" t="s">
        <v>863</v>
      </c>
      <c r="C387" t="s">
        <v>864</v>
      </c>
      <c r="D387" t="s">
        <v>14</v>
      </c>
      <c r="E387">
        <v>477013.05</v>
      </c>
      <c r="F387">
        <v>77</v>
      </c>
      <c r="G387">
        <v>36730004.850000001</v>
      </c>
      <c r="H387" t="s">
        <v>1388</v>
      </c>
    </row>
    <row r="388" spans="1:8" x14ac:dyDescent="0.25">
      <c r="A388" t="s">
        <v>1165</v>
      </c>
      <c r="B388" t="s">
        <v>991</v>
      </c>
      <c r="C388" t="s">
        <v>992</v>
      </c>
      <c r="D388" t="s">
        <v>10</v>
      </c>
      <c r="E388">
        <v>111687.55</v>
      </c>
      <c r="F388">
        <v>17</v>
      </c>
      <c r="G388">
        <v>1898688.35</v>
      </c>
      <c r="H388" t="s">
        <v>1388</v>
      </c>
    </row>
    <row r="389" spans="1:8" x14ac:dyDescent="0.25">
      <c r="A389" t="s">
        <v>1165</v>
      </c>
      <c r="B389" t="s">
        <v>981</v>
      </c>
      <c r="C389" t="s">
        <v>982</v>
      </c>
      <c r="D389" t="s">
        <v>14</v>
      </c>
      <c r="E389">
        <v>702983.15</v>
      </c>
      <c r="F389">
        <v>21</v>
      </c>
      <c r="G389">
        <v>14762646.15</v>
      </c>
      <c r="H389" t="s">
        <v>1388</v>
      </c>
    </row>
    <row r="390" spans="1:8" x14ac:dyDescent="0.25">
      <c r="A390" t="s">
        <v>1165</v>
      </c>
      <c r="B390" t="s">
        <v>607</v>
      </c>
      <c r="C390" t="s">
        <v>608</v>
      </c>
      <c r="D390" t="s">
        <v>19</v>
      </c>
      <c r="E390">
        <v>2023527.9</v>
      </c>
      <c r="F390">
        <v>76</v>
      </c>
      <c r="G390">
        <v>153788120.40000001</v>
      </c>
      <c r="H390" t="s">
        <v>1388</v>
      </c>
    </row>
    <row r="391" spans="1:8" x14ac:dyDescent="0.25">
      <c r="A391" t="s">
        <v>1166</v>
      </c>
      <c r="B391" t="s">
        <v>561</v>
      </c>
      <c r="C391" t="s">
        <v>562</v>
      </c>
      <c r="D391" t="s">
        <v>19</v>
      </c>
      <c r="E391">
        <v>1590608.06</v>
      </c>
      <c r="F391">
        <v>53</v>
      </c>
      <c r="G391">
        <v>84302227.180000007</v>
      </c>
      <c r="H391" t="s">
        <v>1388</v>
      </c>
    </row>
    <row r="392" spans="1:8" x14ac:dyDescent="0.25">
      <c r="A392" t="s">
        <v>1167</v>
      </c>
      <c r="B392" t="s">
        <v>539</v>
      </c>
      <c r="C392" t="s">
        <v>540</v>
      </c>
      <c r="D392" t="s">
        <v>10</v>
      </c>
      <c r="E392">
        <v>1146502.68</v>
      </c>
      <c r="F392">
        <v>29</v>
      </c>
      <c r="G392">
        <v>33248577.719999999</v>
      </c>
      <c r="H392" t="s">
        <v>1388</v>
      </c>
    </row>
    <row r="393" spans="1:8" x14ac:dyDescent="0.25">
      <c r="A393" t="s">
        <v>1167</v>
      </c>
      <c r="B393" t="s">
        <v>285</v>
      </c>
      <c r="C393" t="s">
        <v>286</v>
      </c>
      <c r="D393" t="s">
        <v>19</v>
      </c>
      <c r="E393">
        <v>1519502.47</v>
      </c>
      <c r="F393">
        <v>36</v>
      </c>
      <c r="G393">
        <v>54702088.920000002</v>
      </c>
      <c r="H393" t="s">
        <v>1388</v>
      </c>
    </row>
    <row r="394" spans="1:8" x14ac:dyDescent="0.25">
      <c r="A394" t="s">
        <v>1416</v>
      </c>
      <c r="B394" t="s">
        <v>61</v>
      </c>
      <c r="C394" t="s">
        <v>62</v>
      </c>
      <c r="D394" t="s">
        <v>10</v>
      </c>
      <c r="E394">
        <v>474412.86</v>
      </c>
      <c r="F394">
        <v>20</v>
      </c>
      <c r="G394">
        <v>9488257.1999999993</v>
      </c>
      <c r="H394" t="s">
        <v>1388</v>
      </c>
    </row>
    <row r="395" spans="1:8" x14ac:dyDescent="0.25">
      <c r="A395" t="s">
        <v>1416</v>
      </c>
      <c r="B395" t="s">
        <v>237</v>
      </c>
      <c r="C395" t="s">
        <v>238</v>
      </c>
      <c r="D395" t="s">
        <v>10</v>
      </c>
      <c r="E395">
        <v>1433296.48</v>
      </c>
      <c r="F395">
        <v>11</v>
      </c>
      <c r="G395">
        <v>15766261.279999999</v>
      </c>
      <c r="H395" t="s">
        <v>1388</v>
      </c>
    </row>
    <row r="396" spans="1:8" x14ac:dyDescent="0.25">
      <c r="A396" t="s">
        <v>1417</v>
      </c>
      <c r="B396" t="s">
        <v>461</v>
      </c>
      <c r="C396" t="s">
        <v>462</v>
      </c>
      <c r="D396" t="s">
        <v>14</v>
      </c>
      <c r="E396">
        <v>724884.84</v>
      </c>
      <c r="F396">
        <v>3</v>
      </c>
      <c r="G396">
        <v>2174654.52</v>
      </c>
      <c r="H396" t="s">
        <v>1388</v>
      </c>
    </row>
    <row r="397" spans="1:8" x14ac:dyDescent="0.25">
      <c r="A397" t="s">
        <v>1168</v>
      </c>
      <c r="B397" t="s">
        <v>373</v>
      </c>
      <c r="C397" t="s">
        <v>374</v>
      </c>
      <c r="D397" t="s">
        <v>10</v>
      </c>
      <c r="E397">
        <v>831607.87</v>
      </c>
      <c r="F397">
        <v>70</v>
      </c>
      <c r="G397">
        <v>58212550.899999999</v>
      </c>
      <c r="H397" t="s">
        <v>1388</v>
      </c>
    </row>
    <row r="398" spans="1:8" x14ac:dyDescent="0.25">
      <c r="A398" t="s">
        <v>1168</v>
      </c>
      <c r="B398" t="s">
        <v>941</v>
      </c>
      <c r="C398" t="s">
        <v>942</v>
      </c>
      <c r="D398" t="s">
        <v>10</v>
      </c>
      <c r="E398">
        <v>1438398.22</v>
      </c>
      <c r="F398">
        <v>67</v>
      </c>
      <c r="G398">
        <v>96372680.739999995</v>
      </c>
      <c r="H398" t="s">
        <v>1388</v>
      </c>
    </row>
    <row r="399" spans="1:8" x14ac:dyDescent="0.25">
      <c r="A399" t="s">
        <v>1168</v>
      </c>
      <c r="B399" t="s">
        <v>133</v>
      </c>
      <c r="C399" t="s">
        <v>134</v>
      </c>
      <c r="D399" t="s">
        <v>14</v>
      </c>
      <c r="E399">
        <v>949962.59</v>
      </c>
      <c r="F399">
        <v>41</v>
      </c>
      <c r="G399">
        <v>38948466.189999998</v>
      </c>
      <c r="H399" t="s">
        <v>1388</v>
      </c>
    </row>
    <row r="400" spans="1:8" x14ac:dyDescent="0.25">
      <c r="A400" t="s">
        <v>1168</v>
      </c>
      <c r="B400" t="s">
        <v>311</v>
      </c>
      <c r="C400" t="s">
        <v>312</v>
      </c>
      <c r="D400" t="s">
        <v>26</v>
      </c>
      <c r="E400">
        <v>1887709.76</v>
      </c>
      <c r="F400">
        <v>64</v>
      </c>
      <c r="G400">
        <v>120813424.64</v>
      </c>
      <c r="H400" t="s">
        <v>1388</v>
      </c>
    </row>
    <row r="401" spans="1:8" x14ac:dyDescent="0.25">
      <c r="A401" t="s">
        <v>1169</v>
      </c>
      <c r="B401" t="s">
        <v>79</v>
      </c>
      <c r="C401" t="s">
        <v>80</v>
      </c>
      <c r="D401" t="s">
        <v>14</v>
      </c>
      <c r="E401">
        <v>267251.11</v>
      </c>
      <c r="F401">
        <v>41</v>
      </c>
      <c r="G401">
        <v>10957295.51</v>
      </c>
      <c r="H401" t="s">
        <v>1388</v>
      </c>
    </row>
    <row r="402" spans="1:8" x14ac:dyDescent="0.25">
      <c r="A402" t="s">
        <v>1169</v>
      </c>
      <c r="B402" t="s">
        <v>51</v>
      </c>
      <c r="C402" t="s">
        <v>52</v>
      </c>
      <c r="D402" t="s">
        <v>14</v>
      </c>
      <c r="E402">
        <v>399242.23</v>
      </c>
      <c r="F402">
        <v>3</v>
      </c>
      <c r="G402">
        <v>1197726.69</v>
      </c>
      <c r="H402" t="s">
        <v>1388</v>
      </c>
    </row>
    <row r="403" spans="1:8" x14ac:dyDescent="0.25">
      <c r="A403" t="s">
        <v>1169</v>
      </c>
      <c r="B403" t="s">
        <v>449</v>
      </c>
      <c r="C403" t="s">
        <v>450</v>
      </c>
      <c r="D403" t="s">
        <v>26</v>
      </c>
      <c r="E403">
        <v>1553623.19</v>
      </c>
      <c r="F403">
        <v>68</v>
      </c>
      <c r="G403">
        <v>105646376.92</v>
      </c>
      <c r="H403" t="s">
        <v>1388</v>
      </c>
    </row>
    <row r="404" spans="1:8" x14ac:dyDescent="0.25">
      <c r="A404" t="s">
        <v>1170</v>
      </c>
      <c r="B404" t="s">
        <v>459</v>
      </c>
      <c r="C404" t="s">
        <v>460</v>
      </c>
      <c r="D404" t="s">
        <v>26</v>
      </c>
      <c r="E404">
        <v>2699395.73</v>
      </c>
      <c r="F404">
        <v>77</v>
      </c>
      <c r="G404">
        <v>207853471.21000001</v>
      </c>
      <c r="H404" t="s">
        <v>1388</v>
      </c>
    </row>
    <row r="405" spans="1:8" x14ac:dyDescent="0.25">
      <c r="A405" t="s">
        <v>1170</v>
      </c>
      <c r="B405" t="s">
        <v>687</v>
      </c>
      <c r="C405" t="s">
        <v>688</v>
      </c>
      <c r="D405" t="s">
        <v>19</v>
      </c>
      <c r="E405">
        <v>2080498.01</v>
      </c>
      <c r="F405">
        <v>44</v>
      </c>
      <c r="G405">
        <v>91541912.439999998</v>
      </c>
      <c r="H405" t="s">
        <v>1388</v>
      </c>
    </row>
    <row r="406" spans="1:8" x14ac:dyDescent="0.25">
      <c r="A406" t="s">
        <v>1171</v>
      </c>
      <c r="B406" t="s">
        <v>135</v>
      </c>
      <c r="C406" t="s">
        <v>136</v>
      </c>
      <c r="D406" t="s">
        <v>14</v>
      </c>
      <c r="E406">
        <v>1138480.98</v>
      </c>
      <c r="F406">
        <v>78</v>
      </c>
      <c r="G406">
        <v>88801516.439999998</v>
      </c>
      <c r="H406" t="s">
        <v>1388</v>
      </c>
    </row>
    <row r="407" spans="1:8" x14ac:dyDescent="0.25">
      <c r="A407" t="s">
        <v>1171</v>
      </c>
      <c r="B407" t="s">
        <v>57</v>
      </c>
      <c r="C407" t="s">
        <v>58</v>
      </c>
      <c r="D407" t="s">
        <v>19</v>
      </c>
      <c r="E407">
        <v>1088405.8600000001</v>
      </c>
      <c r="F407">
        <v>14</v>
      </c>
      <c r="G407">
        <v>15237682.039999999</v>
      </c>
      <c r="H407" t="s">
        <v>1388</v>
      </c>
    </row>
    <row r="408" spans="1:8" x14ac:dyDescent="0.25">
      <c r="A408" t="s">
        <v>1171</v>
      </c>
      <c r="B408" t="s">
        <v>183</v>
      </c>
      <c r="C408" t="s">
        <v>184</v>
      </c>
      <c r="D408" t="s">
        <v>19</v>
      </c>
      <c r="E408">
        <v>107269.1</v>
      </c>
      <c r="F408">
        <v>3</v>
      </c>
      <c r="G408">
        <v>321807.3</v>
      </c>
      <c r="H408" t="s">
        <v>1388</v>
      </c>
    </row>
    <row r="409" spans="1:8" x14ac:dyDescent="0.25">
      <c r="A409" t="s">
        <v>1171</v>
      </c>
      <c r="B409" t="s">
        <v>437</v>
      </c>
      <c r="C409" t="s">
        <v>438</v>
      </c>
      <c r="D409" t="s">
        <v>14</v>
      </c>
      <c r="E409">
        <v>503249.61</v>
      </c>
      <c r="F409">
        <v>48</v>
      </c>
      <c r="G409">
        <v>24155981.280000001</v>
      </c>
      <c r="H409" t="s">
        <v>1388</v>
      </c>
    </row>
    <row r="410" spans="1:8" x14ac:dyDescent="0.25">
      <c r="A410" t="s">
        <v>1172</v>
      </c>
      <c r="B410" t="s">
        <v>915</v>
      </c>
      <c r="C410" t="s">
        <v>916</v>
      </c>
      <c r="D410" t="s">
        <v>10</v>
      </c>
      <c r="E410">
        <v>640680</v>
      </c>
      <c r="F410">
        <v>40</v>
      </c>
      <c r="G410">
        <v>25627200</v>
      </c>
      <c r="H410" t="s">
        <v>1388</v>
      </c>
    </row>
    <row r="411" spans="1:8" x14ac:dyDescent="0.25">
      <c r="A411" t="s">
        <v>1172</v>
      </c>
      <c r="B411" t="s">
        <v>633</v>
      </c>
      <c r="C411" t="s">
        <v>634</v>
      </c>
      <c r="D411" t="s">
        <v>14</v>
      </c>
      <c r="E411">
        <v>728555.63</v>
      </c>
      <c r="F411">
        <v>24</v>
      </c>
      <c r="G411">
        <v>17485335.120000001</v>
      </c>
      <c r="H411" t="s">
        <v>1388</v>
      </c>
    </row>
    <row r="412" spans="1:8" x14ac:dyDescent="0.25">
      <c r="A412" t="s">
        <v>1172</v>
      </c>
      <c r="B412" t="s">
        <v>721</v>
      </c>
      <c r="C412" t="s">
        <v>722</v>
      </c>
      <c r="D412" t="s">
        <v>10</v>
      </c>
      <c r="E412">
        <v>895722.88</v>
      </c>
      <c r="F412">
        <v>14</v>
      </c>
      <c r="G412">
        <v>12540120.32</v>
      </c>
      <c r="H412" t="s">
        <v>1388</v>
      </c>
    </row>
    <row r="413" spans="1:8" x14ac:dyDescent="0.25">
      <c r="A413" t="s">
        <v>1172</v>
      </c>
      <c r="B413" t="s">
        <v>731</v>
      </c>
      <c r="C413" t="s">
        <v>732</v>
      </c>
      <c r="D413" t="s">
        <v>26</v>
      </c>
      <c r="E413">
        <v>1543222.16</v>
      </c>
      <c r="F413">
        <v>14</v>
      </c>
      <c r="G413">
        <v>21605110.239999998</v>
      </c>
      <c r="H413" t="s">
        <v>1388</v>
      </c>
    </row>
    <row r="414" spans="1:8" x14ac:dyDescent="0.25">
      <c r="A414" t="s">
        <v>1418</v>
      </c>
      <c r="B414" t="s">
        <v>587</v>
      </c>
      <c r="C414" t="s">
        <v>588</v>
      </c>
      <c r="D414" t="s">
        <v>14</v>
      </c>
      <c r="E414">
        <v>916629.54</v>
      </c>
      <c r="F414">
        <v>7</v>
      </c>
      <c r="G414">
        <v>6416406.7800000003</v>
      </c>
      <c r="H414" t="s">
        <v>1388</v>
      </c>
    </row>
    <row r="415" spans="1:8" x14ac:dyDescent="0.25">
      <c r="A415" t="s">
        <v>1419</v>
      </c>
      <c r="B415" t="s">
        <v>681</v>
      </c>
      <c r="C415" t="s">
        <v>682</v>
      </c>
      <c r="D415" t="s">
        <v>26</v>
      </c>
      <c r="E415">
        <v>2708751.95</v>
      </c>
      <c r="F415">
        <v>38</v>
      </c>
      <c r="G415">
        <v>102932574.09999999</v>
      </c>
      <c r="H415" t="s">
        <v>1388</v>
      </c>
    </row>
    <row r="416" spans="1:8" x14ac:dyDescent="0.25">
      <c r="A416" t="s">
        <v>1173</v>
      </c>
      <c r="B416" t="s">
        <v>1001</v>
      </c>
      <c r="C416" t="s">
        <v>1002</v>
      </c>
      <c r="D416" t="s">
        <v>19</v>
      </c>
      <c r="E416">
        <v>1979268.92</v>
      </c>
      <c r="F416">
        <v>77</v>
      </c>
      <c r="G416">
        <v>152403706.84</v>
      </c>
      <c r="H416" t="s">
        <v>1388</v>
      </c>
    </row>
    <row r="417" spans="1:8" x14ac:dyDescent="0.25">
      <c r="A417" t="s">
        <v>1173</v>
      </c>
      <c r="B417" t="s">
        <v>173</v>
      </c>
      <c r="C417" t="s">
        <v>174</v>
      </c>
      <c r="D417" t="s">
        <v>19</v>
      </c>
      <c r="E417">
        <v>1397068.66</v>
      </c>
      <c r="F417">
        <v>51</v>
      </c>
      <c r="G417">
        <v>71250501.659999996</v>
      </c>
      <c r="H417" t="s">
        <v>1388</v>
      </c>
    </row>
    <row r="418" spans="1:8" x14ac:dyDescent="0.25">
      <c r="A418" t="s">
        <v>1173</v>
      </c>
      <c r="B418" t="s">
        <v>201</v>
      </c>
      <c r="C418" t="s">
        <v>202</v>
      </c>
      <c r="D418" t="s">
        <v>14</v>
      </c>
      <c r="E418">
        <v>762802.47</v>
      </c>
      <c r="F418">
        <v>2</v>
      </c>
      <c r="G418">
        <v>1525604.94</v>
      </c>
      <c r="H418" t="s">
        <v>1388</v>
      </c>
    </row>
    <row r="419" spans="1:8" x14ac:dyDescent="0.25">
      <c r="A419" t="s">
        <v>1173</v>
      </c>
      <c r="B419" t="s">
        <v>227</v>
      </c>
      <c r="C419" t="s">
        <v>228</v>
      </c>
      <c r="D419" t="s">
        <v>14</v>
      </c>
      <c r="E419">
        <v>830817.6</v>
      </c>
      <c r="F419">
        <v>36</v>
      </c>
      <c r="G419">
        <v>29909433.600000001</v>
      </c>
      <c r="H419" t="s">
        <v>1388</v>
      </c>
    </row>
    <row r="420" spans="1:8" x14ac:dyDescent="0.25">
      <c r="A420" t="s">
        <v>1173</v>
      </c>
      <c r="B420" t="s">
        <v>969</v>
      </c>
      <c r="C420" t="s">
        <v>970</v>
      </c>
      <c r="D420" t="s">
        <v>10</v>
      </c>
      <c r="E420">
        <v>745869.75</v>
      </c>
      <c r="F420">
        <v>35</v>
      </c>
      <c r="G420">
        <v>26105441.25</v>
      </c>
      <c r="H420" t="s">
        <v>1388</v>
      </c>
    </row>
    <row r="421" spans="1:8" x14ac:dyDescent="0.25">
      <c r="A421" t="s">
        <v>1175</v>
      </c>
      <c r="B421" t="s">
        <v>685</v>
      </c>
      <c r="C421" t="s">
        <v>686</v>
      </c>
      <c r="D421" t="s">
        <v>14</v>
      </c>
      <c r="E421">
        <v>1182771.54</v>
      </c>
      <c r="F421">
        <v>34</v>
      </c>
      <c r="G421">
        <v>40214232.359999999</v>
      </c>
      <c r="H421" t="s">
        <v>1388</v>
      </c>
    </row>
    <row r="422" spans="1:8" x14ac:dyDescent="0.25">
      <c r="A422" t="s">
        <v>1175</v>
      </c>
      <c r="B422" t="s">
        <v>813</v>
      </c>
      <c r="C422" t="s">
        <v>814</v>
      </c>
      <c r="D422" t="s">
        <v>26</v>
      </c>
      <c r="E422">
        <v>2665480.0099999998</v>
      </c>
      <c r="F422">
        <v>14</v>
      </c>
      <c r="G422">
        <v>37316720.140000001</v>
      </c>
      <c r="H422" t="s">
        <v>1388</v>
      </c>
    </row>
    <row r="423" spans="1:8" x14ac:dyDescent="0.25">
      <c r="A423" t="s">
        <v>1175</v>
      </c>
      <c r="B423" t="s">
        <v>825</v>
      </c>
      <c r="C423" t="s">
        <v>826</v>
      </c>
      <c r="D423" t="s">
        <v>19</v>
      </c>
      <c r="E423">
        <v>1944308.93</v>
      </c>
      <c r="F423">
        <v>17</v>
      </c>
      <c r="G423">
        <v>33053251.809999999</v>
      </c>
      <c r="H423" t="s">
        <v>1388</v>
      </c>
    </row>
    <row r="424" spans="1:8" x14ac:dyDescent="0.25">
      <c r="A424" t="s">
        <v>1175</v>
      </c>
      <c r="B424" t="s">
        <v>387</v>
      </c>
      <c r="C424" t="s">
        <v>388</v>
      </c>
      <c r="D424" t="s">
        <v>19</v>
      </c>
      <c r="E424">
        <v>86190.51</v>
      </c>
      <c r="F424">
        <v>49</v>
      </c>
      <c r="G424">
        <v>4223334.99</v>
      </c>
      <c r="H424" t="s">
        <v>1388</v>
      </c>
    </row>
    <row r="425" spans="1:8" x14ac:dyDescent="0.25">
      <c r="A425" t="s">
        <v>1175</v>
      </c>
      <c r="B425" t="s">
        <v>653</v>
      </c>
      <c r="C425" t="s">
        <v>654</v>
      </c>
      <c r="D425" t="s">
        <v>14</v>
      </c>
      <c r="E425">
        <v>1080447.1100000001</v>
      </c>
      <c r="F425">
        <v>9</v>
      </c>
      <c r="G425">
        <v>9724023.9900000002</v>
      </c>
      <c r="H425" t="s">
        <v>1388</v>
      </c>
    </row>
    <row r="426" spans="1:8" x14ac:dyDescent="0.25">
      <c r="A426" t="s">
        <v>1176</v>
      </c>
      <c r="B426" t="s">
        <v>869</v>
      </c>
      <c r="C426" t="s">
        <v>870</v>
      </c>
      <c r="D426" t="s">
        <v>19</v>
      </c>
      <c r="E426">
        <v>1130402.1599999999</v>
      </c>
      <c r="F426">
        <v>23</v>
      </c>
      <c r="G426">
        <v>25999249.68</v>
      </c>
      <c r="H426" t="s">
        <v>1388</v>
      </c>
    </row>
    <row r="427" spans="1:8" x14ac:dyDescent="0.25">
      <c r="A427" t="s">
        <v>1176</v>
      </c>
      <c r="B427" t="s">
        <v>53</v>
      </c>
      <c r="C427" t="s">
        <v>54</v>
      </c>
      <c r="D427" t="s">
        <v>19</v>
      </c>
      <c r="E427">
        <v>362551.87</v>
      </c>
      <c r="F427">
        <v>19</v>
      </c>
      <c r="G427">
        <v>6888485.5300000003</v>
      </c>
      <c r="H427" t="s">
        <v>1388</v>
      </c>
    </row>
    <row r="428" spans="1:8" x14ac:dyDescent="0.25">
      <c r="A428" t="s">
        <v>1177</v>
      </c>
      <c r="B428" t="s">
        <v>893</v>
      </c>
      <c r="C428" t="s">
        <v>894</v>
      </c>
      <c r="D428" t="s">
        <v>19</v>
      </c>
      <c r="E428">
        <v>340955.37</v>
      </c>
      <c r="F428">
        <v>55</v>
      </c>
      <c r="G428">
        <v>18752545.350000001</v>
      </c>
      <c r="H428" t="s">
        <v>1388</v>
      </c>
    </row>
    <row r="429" spans="1:8" x14ac:dyDescent="0.25">
      <c r="A429" t="s">
        <v>1177</v>
      </c>
      <c r="B429" t="s">
        <v>565</v>
      </c>
      <c r="C429" t="s">
        <v>566</v>
      </c>
      <c r="D429" t="s">
        <v>26</v>
      </c>
      <c r="E429">
        <v>864554.94</v>
      </c>
      <c r="F429">
        <v>34</v>
      </c>
      <c r="G429">
        <v>29394867.960000001</v>
      </c>
      <c r="H429" t="s">
        <v>1388</v>
      </c>
    </row>
    <row r="430" spans="1:8" x14ac:dyDescent="0.25">
      <c r="A430" t="s">
        <v>1177</v>
      </c>
      <c r="B430" t="s">
        <v>585</v>
      </c>
      <c r="C430" t="s">
        <v>586</v>
      </c>
      <c r="D430" t="s">
        <v>10</v>
      </c>
      <c r="E430">
        <v>1636167.23</v>
      </c>
      <c r="F430">
        <v>60</v>
      </c>
      <c r="G430">
        <v>98170033.799999997</v>
      </c>
      <c r="H430" t="s">
        <v>1388</v>
      </c>
    </row>
    <row r="431" spans="1:8" x14ac:dyDescent="0.25">
      <c r="A431" t="s">
        <v>1178</v>
      </c>
      <c r="B431" t="s">
        <v>503</v>
      </c>
      <c r="C431" t="s">
        <v>504</v>
      </c>
      <c r="D431" t="s">
        <v>26</v>
      </c>
      <c r="E431">
        <v>2726709.11</v>
      </c>
      <c r="F431">
        <v>52</v>
      </c>
      <c r="G431">
        <v>141788873.72</v>
      </c>
      <c r="H431" t="s">
        <v>1388</v>
      </c>
    </row>
    <row r="432" spans="1:8" x14ac:dyDescent="0.25">
      <c r="A432" t="s">
        <v>1179</v>
      </c>
      <c r="B432" t="s">
        <v>165</v>
      </c>
      <c r="C432" t="s">
        <v>166</v>
      </c>
      <c r="D432" t="s">
        <v>26</v>
      </c>
      <c r="E432">
        <v>2686017.28</v>
      </c>
      <c r="F432">
        <v>53</v>
      </c>
      <c r="G432">
        <v>142358915.84</v>
      </c>
      <c r="H432" t="s">
        <v>1388</v>
      </c>
    </row>
    <row r="433" spans="1:8" x14ac:dyDescent="0.25">
      <c r="A433" t="s">
        <v>1420</v>
      </c>
      <c r="B433" t="s">
        <v>701</v>
      </c>
      <c r="C433" t="s">
        <v>702</v>
      </c>
      <c r="D433" t="s">
        <v>19</v>
      </c>
      <c r="E433">
        <v>813129.4</v>
      </c>
      <c r="F433">
        <v>55</v>
      </c>
      <c r="G433">
        <v>44722117</v>
      </c>
      <c r="H433" t="s">
        <v>1388</v>
      </c>
    </row>
    <row r="434" spans="1:8" x14ac:dyDescent="0.25">
      <c r="A434" t="s">
        <v>1180</v>
      </c>
      <c r="B434" t="s">
        <v>877</v>
      </c>
      <c r="C434" t="s">
        <v>878</v>
      </c>
      <c r="D434" t="s">
        <v>14</v>
      </c>
      <c r="E434">
        <v>787701.52</v>
      </c>
      <c r="F434">
        <v>29</v>
      </c>
      <c r="G434">
        <v>22843344.079999998</v>
      </c>
      <c r="H434" t="s">
        <v>1388</v>
      </c>
    </row>
    <row r="435" spans="1:8" x14ac:dyDescent="0.25">
      <c r="A435" t="s">
        <v>1180</v>
      </c>
      <c r="B435" t="s">
        <v>545</v>
      </c>
      <c r="C435" t="s">
        <v>546</v>
      </c>
      <c r="D435" t="s">
        <v>19</v>
      </c>
      <c r="E435">
        <v>154341.54</v>
      </c>
      <c r="F435">
        <v>46</v>
      </c>
      <c r="G435">
        <v>7099710.8399999999</v>
      </c>
      <c r="H435" t="s">
        <v>1388</v>
      </c>
    </row>
    <row r="436" spans="1:8" x14ac:dyDescent="0.25">
      <c r="A436" t="s">
        <v>1180</v>
      </c>
      <c r="B436" t="s">
        <v>901</v>
      </c>
      <c r="C436" t="s">
        <v>902</v>
      </c>
      <c r="D436" t="s">
        <v>14</v>
      </c>
      <c r="E436">
        <v>866337.29</v>
      </c>
      <c r="F436">
        <v>47</v>
      </c>
      <c r="G436">
        <v>40717852.630000003</v>
      </c>
      <c r="H436" t="s">
        <v>1388</v>
      </c>
    </row>
    <row r="437" spans="1:8" x14ac:dyDescent="0.25">
      <c r="A437" t="s">
        <v>1181</v>
      </c>
      <c r="B437" t="s">
        <v>845</v>
      </c>
      <c r="C437" t="s">
        <v>846</v>
      </c>
      <c r="D437" t="s">
        <v>14</v>
      </c>
      <c r="E437">
        <v>848494.07</v>
      </c>
      <c r="F437">
        <v>23</v>
      </c>
      <c r="G437">
        <v>19515363.609999999</v>
      </c>
      <c r="H437" t="s">
        <v>1388</v>
      </c>
    </row>
    <row r="438" spans="1:8" x14ac:dyDescent="0.25">
      <c r="A438" t="s">
        <v>1181</v>
      </c>
      <c r="B438" t="s">
        <v>657</v>
      </c>
      <c r="C438" t="s">
        <v>658</v>
      </c>
      <c r="D438" t="s">
        <v>19</v>
      </c>
      <c r="E438">
        <v>971726.57</v>
      </c>
      <c r="F438">
        <v>29</v>
      </c>
      <c r="G438">
        <v>28180070.530000001</v>
      </c>
      <c r="H438" t="s">
        <v>1388</v>
      </c>
    </row>
    <row r="439" spans="1:8" x14ac:dyDescent="0.25">
      <c r="A439" t="s">
        <v>1182</v>
      </c>
      <c r="B439" t="s">
        <v>767</v>
      </c>
      <c r="C439" t="s">
        <v>768</v>
      </c>
      <c r="D439" t="s">
        <v>14</v>
      </c>
      <c r="E439">
        <v>91579.18</v>
      </c>
      <c r="F439">
        <v>17</v>
      </c>
      <c r="G439">
        <v>1556846.06</v>
      </c>
      <c r="H439" t="s">
        <v>1388</v>
      </c>
    </row>
    <row r="440" spans="1:8" x14ac:dyDescent="0.25">
      <c r="A440" t="s">
        <v>1183</v>
      </c>
      <c r="B440" t="s">
        <v>399</v>
      </c>
      <c r="C440" t="s">
        <v>400</v>
      </c>
      <c r="D440" t="s">
        <v>19</v>
      </c>
      <c r="E440">
        <v>876562.06</v>
      </c>
      <c r="F440">
        <v>70</v>
      </c>
      <c r="G440">
        <v>61359344.200000003</v>
      </c>
      <c r="H440" t="s">
        <v>1388</v>
      </c>
    </row>
    <row r="441" spans="1:8" x14ac:dyDescent="0.25">
      <c r="A441" t="s">
        <v>1183</v>
      </c>
      <c r="B441" t="s">
        <v>787</v>
      </c>
      <c r="C441" t="s">
        <v>788</v>
      </c>
      <c r="D441" t="s">
        <v>19</v>
      </c>
      <c r="E441">
        <v>2091879.56</v>
      </c>
      <c r="F441">
        <v>17</v>
      </c>
      <c r="G441">
        <v>35561952.520000003</v>
      </c>
      <c r="H441" t="s">
        <v>1388</v>
      </c>
    </row>
    <row r="442" spans="1:8" x14ac:dyDescent="0.25">
      <c r="A442" t="s">
        <v>1421</v>
      </c>
      <c r="B442" t="s">
        <v>345</v>
      </c>
      <c r="C442" t="s">
        <v>346</v>
      </c>
      <c r="D442" t="s">
        <v>14</v>
      </c>
      <c r="E442">
        <v>874434.9</v>
      </c>
      <c r="F442">
        <v>26</v>
      </c>
      <c r="G442">
        <v>22735307.399999999</v>
      </c>
      <c r="H442" t="s">
        <v>1388</v>
      </c>
    </row>
    <row r="443" spans="1:8" x14ac:dyDescent="0.25">
      <c r="A443" t="s">
        <v>1421</v>
      </c>
      <c r="B443" t="s">
        <v>851</v>
      </c>
      <c r="C443" t="s">
        <v>852</v>
      </c>
      <c r="D443" t="s">
        <v>10</v>
      </c>
      <c r="E443">
        <v>763583.78</v>
      </c>
      <c r="F443">
        <v>42</v>
      </c>
      <c r="G443">
        <v>32070518.760000002</v>
      </c>
      <c r="H443" t="s">
        <v>1388</v>
      </c>
    </row>
    <row r="444" spans="1:8" x14ac:dyDescent="0.25">
      <c r="A444" t="s">
        <v>1184</v>
      </c>
      <c r="B444" t="s">
        <v>123</v>
      </c>
      <c r="C444" t="s">
        <v>124</v>
      </c>
      <c r="D444" t="s">
        <v>19</v>
      </c>
      <c r="E444">
        <v>502104.27</v>
      </c>
      <c r="F444">
        <v>77</v>
      </c>
      <c r="G444">
        <v>38662028.789999999</v>
      </c>
      <c r="H444" t="s">
        <v>1388</v>
      </c>
    </row>
    <row r="445" spans="1:8" x14ac:dyDescent="0.25">
      <c r="A445" t="s">
        <v>1184</v>
      </c>
      <c r="B445" t="s">
        <v>637</v>
      </c>
      <c r="C445" t="s">
        <v>638</v>
      </c>
      <c r="D445" t="s">
        <v>26</v>
      </c>
      <c r="E445">
        <v>3087655.37</v>
      </c>
      <c r="F445">
        <v>28</v>
      </c>
      <c r="G445">
        <v>86454350.359999999</v>
      </c>
      <c r="H445" t="s">
        <v>1388</v>
      </c>
    </row>
    <row r="446" spans="1:8" x14ac:dyDescent="0.25">
      <c r="A446" t="s">
        <v>1184</v>
      </c>
      <c r="B446" t="s">
        <v>213</v>
      </c>
      <c r="C446" t="s">
        <v>214</v>
      </c>
      <c r="D446" t="s">
        <v>14</v>
      </c>
      <c r="E446">
        <v>1217902.6399999999</v>
      </c>
      <c r="F446">
        <v>79</v>
      </c>
      <c r="G446">
        <v>96214308.560000002</v>
      </c>
      <c r="H446" t="s">
        <v>1388</v>
      </c>
    </row>
    <row r="447" spans="1:8" x14ac:dyDescent="0.25">
      <c r="A447" t="s">
        <v>1185</v>
      </c>
      <c r="B447" t="s">
        <v>909</v>
      </c>
      <c r="C447" t="s">
        <v>910</v>
      </c>
      <c r="D447" t="s">
        <v>14</v>
      </c>
      <c r="E447">
        <v>218634.77</v>
      </c>
      <c r="F447">
        <v>35</v>
      </c>
      <c r="G447">
        <v>7652216.9500000002</v>
      </c>
      <c r="H447" t="s">
        <v>1388</v>
      </c>
    </row>
    <row r="448" spans="1:8" x14ac:dyDescent="0.25">
      <c r="A448" t="s">
        <v>1185</v>
      </c>
      <c r="B448" t="s">
        <v>693</v>
      </c>
      <c r="C448" t="s">
        <v>694</v>
      </c>
      <c r="D448" t="s">
        <v>14</v>
      </c>
      <c r="E448">
        <v>194198.34</v>
      </c>
      <c r="F448">
        <v>74</v>
      </c>
      <c r="G448">
        <v>14370677.16</v>
      </c>
      <c r="H448" t="s">
        <v>1388</v>
      </c>
    </row>
    <row r="449" spans="1:8" x14ac:dyDescent="0.25">
      <c r="A449" t="s">
        <v>1185</v>
      </c>
      <c r="B449" t="s">
        <v>24</v>
      </c>
      <c r="C449" t="s">
        <v>25</v>
      </c>
      <c r="D449" t="s">
        <v>26</v>
      </c>
      <c r="E449">
        <v>2162012.7200000002</v>
      </c>
      <c r="F449">
        <v>43</v>
      </c>
      <c r="G449">
        <v>92966546.959999993</v>
      </c>
      <c r="H449" t="s">
        <v>1388</v>
      </c>
    </row>
    <row r="450" spans="1:8" x14ac:dyDescent="0.25">
      <c r="A450" t="s">
        <v>1186</v>
      </c>
      <c r="B450" t="s">
        <v>145</v>
      </c>
      <c r="C450" t="s">
        <v>146</v>
      </c>
      <c r="D450" t="s">
        <v>19</v>
      </c>
      <c r="E450">
        <v>1372038.1</v>
      </c>
      <c r="F450">
        <v>61</v>
      </c>
      <c r="G450">
        <v>83694324.099999994</v>
      </c>
      <c r="H450" t="s">
        <v>1388</v>
      </c>
    </row>
    <row r="451" spans="1:8" x14ac:dyDescent="0.25">
      <c r="A451" t="s">
        <v>1186</v>
      </c>
      <c r="B451" t="s">
        <v>215</v>
      </c>
      <c r="C451" t="s">
        <v>216</v>
      </c>
      <c r="D451" t="s">
        <v>19</v>
      </c>
      <c r="E451">
        <v>1273926.29</v>
      </c>
      <c r="F451">
        <v>56</v>
      </c>
      <c r="G451">
        <v>71339872.239999995</v>
      </c>
      <c r="H451" t="s">
        <v>1388</v>
      </c>
    </row>
    <row r="452" spans="1:8" x14ac:dyDescent="0.25">
      <c r="A452" t="s">
        <v>1186</v>
      </c>
      <c r="B452" t="s">
        <v>675</v>
      </c>
      <c r="C452" t="s">
        <v>676</v>
      </c>
      <c r="D452" t="s">
        <v>19</v>
      </c>
      <c r="E452">
        <v>488324.33</v>
      </c>
      <c r="F452">
        <v>19</v>
      </c>
      <c r="G452">
        <v>9278162.2699999996</v>
      </c>
      <c r="H452" t="s">
        <v>1388</v>
      </c>
    </row>
    <row r="453" spans="1:8" x14ac:dyDescent="0.25">
      <c r="A453" t="s">
        <v>1187</v>
      </c>
      <c r="B453" t="s">
        <v>903</v>
      </c>
      <c r="C453" t="s">
        <v>904</v>
      </c>
      <c r="D453" t="s">
        <v>26</v>
      </c>
      <c r="E453">
        <v>468400.73</v>
      </c>
      <c r="F453">
        <v>1</v>
      </c>
      <c r="G453">
        <v>468400.73</v>
      </c>
      <c r="H453" t="s">
        <v>1388</v>
      </c>
    </row>
    <row r="454" spans="1:8" x14ac:dyDescent="0.25">
      <c r="A454" t="s">
        <v>1187</v>
      </c>
      <c r="B454" t="s">
        <v>613</v>
      </c>
      <c r="C454" t="s">
        <v>614</v>
      </c>
      <c r="D454" t="s">
        <v>10</v>
      </c>
      <c r="E454">
        <v>517185.13</v>
      </c>
      <c r="F454">
        <v>54</v>
      </c>
      <c r="G454">
        <v>27927997.02</v>
      </c>
      <c r="H454" t="s">
        <v>1388</v>
      </c>
    </row>
    <row r="455" spans="1:8" x14ac:dyDescent="0.25">
      <c r="A455" t="s">
        <v>1188</v>
      </c>
      <c r="B455" t="s">
        <v>783</v>
      </c>
      <c r="C455" t="s">
        <v>784</v>
      </c>
      <c r="D455" t="s">
        <v>26</v>
      </c>
      <c r="E455">
        <v>2906094.41</v>
      </c>
      <c r="F455">
        <v>20</v>
      </c>
      <c r="G455">
        <v>58121888.200000003</v>
      </c>
      <c r="H455" t="s">
        <v>1388</v>
      </c>
    </row>
    <row r="456" spans="1:8" x14ac:dyDescent="0.25">
      <c r="A456" t="s">
        <v>1188</v>
      </c>
      <c r="B456" t="s">
        <v>959</v>
      </c>
      <c r="C456" t="s">
        <v>960</v>
      </c>
      <c r="D456" t="s">
        <v>26</v>
      </c>
      <c r="E456">
        <v>3520278.57</v>
      </c>
      <c r="F456">
        <v>43</v>
      </c>
      <c r="G456">
        <v>151371978.50999999</v>
      </c>
      <c r="H456" t="s">
        <v>1388</v>
      </c>
    </row>
    <row r="457" spans="1:8" x14ac:dyDescent="0.25">
      <c r="A457" t="s">
        <v>1189</v>
      </c>
      <c r="B457" t="s">
        <v>793</v>
      </c>
      <c r="C457" t="s">
        <v>794</v>
      </c>
      <c r="D457" t="s">
        <v>26</v>
      </c>
      <c r="E457">
        <v>428906.65</v>
      </c>
      <c r="F457">
        <v>19</v>
      </c>
      <c r="G457">
        <v>8149226.3499999996</v>
      </c>
      <c r="H457" t="s">
        <v>1388</v>
      </c>
    </row>
    <row r="458" spans="1:8" x14ac:dyDescent="0.25">
      <c r="A458" t="s">
        <v>1189</v>
      </c>
      <c r="B458" t="s">
        <v>699</v>
      </c>
      <c r="C458" t="s">
        <v>700</v>
      </c>
      <c r="D458" t="s">
        <v>19</v>
      </c>
      <c r="E458">
        <v>60892.92</v>
      </c>
      <c r="F458">
        <v>38</v>
      </c>
      <c r="G458">
        <v>2313930.96</v>
      </c>
      <c r="H458" t="s">
        <v>1388</v>
      </c>
    </row>
    <row r="459" spans="1:8" x14ac:dyDescent="0.25">
      <c r="A459" t="s">
        <v>1189</v>
      </c>
      <c r="B459" t="s">
        <v>295</v>
      </c>
      <c r="C459" t="s">
        <v>296</v>
      </c>
      <c r="D459" t="s">
        <v>19</v>
      </c>
      <c r="E459">
        <v>627883.93999999994</v>
      </c>
      <c r="F459">
        <v>2</v>
      </c>
      <c r="G459">
        <v>1255767.8799999999</v>
      </c>
      <c r="H459" t="s">
        <v>1388</v>
      </c>
    </row>
    <row r="460" spans="1:8" x14ac:dyDescent="0.25">
      <c r="A460" t="s">
        <v>1422</v>
      </c>
      <c r="B460" t="s">
        <v>393</v>
      </c>
      <c r="C460" t="s">
        <v>394</v>
      </c>
      <c r="D460" t="s">
        <v>26</v>
      </c>
      <c r="E460">
        <v>1198725.6000000001</v>
      </c>
      <c r="F460">
        <v>33</v>
      </c>
      <c r="G460">
        <v>39557944.799999997</v>
      </c>
      <c r="H460" t="s">
        <v>1388</v>
      </c>
    </row>
    <row r="461" spans="1:8" x14ac:dyDescent="0.25">
      <c r="A461" t="s">
        <v>1422</v>
      </c>
      <c r="B461" t="s">
        <v>285</v>
      </c>
      <c r="C461" t="s">
        <v>286</v>
      </c>
      <c r="D461" t="s">
        <v>19</v>
      </c>
      <c r="E461">
        <v>1356347.76</v>
      </c>
      <c r="F461">
        <v>71</v>
      </c>
      <c r="G461">
        <v>96300690.959999993</v>
      </c>
      <c r="H461" t="s">
        <v>1388</v>
      </c>
    </row>
    <row r="462" spans="1:8" x14ac:dyDescent="0.25">
      <c r="A462" t="s">
        <v>1422</v>
      </c>
      <c r="B462" t="s">
        <v>453</v>
      </c>
      <c r="C462" t="s">
        <v>454</v>
      </c>
      <c r="D462" t="s">
        <v>19</v>
      </c>
      <c r="E462">
        <v>1536960.13</v>
      </c>
      <c r="F462">
        <v>15</v>
      </c>
      <c r="G462">
        <v>23054401.949999999</v>
      </c>
      <c r="H462" t="s">
        <v>1388</v>
      </c>
    </row>
    <row r="463" spans="1:8" x14ac:dyDescent="0.25">
      <c r="A463" t="s">
        <v>1191</v>
      </c>
      <c r="B463" t="s">
        <v>611</v>
      </c>
      <c r="C463" t="s">
        <v>612</v>
      </c>
      <c r="D463" t="s">
        <v>10</v>
      </c>
      <c r="E463">
        <v>1613462.12</v>
      </c>
      <c r="F463">
        <v>49</v>
      </c>
      <c r="G463">
        <v>79059643.879999995</v>
      </c>
      <c r="H463" t="s">
        <v>1388</v>
      </c>
    </row>
    <row r="464" spans="1:8" x14ac:dyDescent="0.25">
      <c r="A464" t="s">
        <v>1191</v>
      </c>
      <c r="B464" t="s">
        <v>387</v>
      </c>
      <c r="C464" t="s">
        <v>388</v>
      </c>
      <c r="D464" t="s">
        <v>19</v>
      </c>
      <c r="E464">
        <v>78241.06</v>
      </c>
      <c r="F464">
        <v>2</v>
      </c>
      <c r="G464">
        <v>156482.12</v>
      </c>
      <c r="H464" t="s">
        <v>1388</v>
      </c>
    </row>
    <row r="465" spans="1:8" x14ac:dyDescent="0.25">
      <c r="A465" t="s">
        <v>1192</v>
      </c>
      <c r="B465" t="s">
        <v>979</v>
      </c>
      <c r="C465" t="s">
        <v>980</v>
      </c>
      <c r="D465" t="s">
        <v>14</v>
      </c>
      <c r="E465">
        <v>748770.35</v>
      </c>
      <c r="F465">
        <v>57</v>
      </c>
      <c r="G465">
        <v>42679909.950000003</v>
      </c>
      <c r="H465" t="s">
        <v>1388</v>
      </c>
    </row>
    <row r="466" spans="1:8" x14ac:dyDescent="0.25">
      <c r="A466" t="s">
        <v>1193</v>
      </c>
      <c r="B466" t="s">
        <v>91</v>
      </c>
      <c r="C466" t="s">
        <v>92</v>
      </c>
      <c r="D466" t="s">
        <v>10</v>
      </c>
      <c r="E466">
        <v>1145025.67</v>
      </c>
      <c r="F466">
        <v>21</v>
      </c>
      <c r="G466">
        <v>24045539.07</v>
      </c>
      <c r="H466" t="s">
        <v>1388</v>
      </c>
    </row>
    <row r="467" spans="1:8" x14ac:dyDescent="0.25">
      <c r="A467" t="s">
        <v>1193</v>
      </c>
      <c r="B467" t="s">
        <v>959</v>
      </c>
      <c r="C467" t="s">
        <v>960</v>
      </c>
      <c r="D467" t="s">
        <v>26</v>
      </c>
      <c r="E467">
        <v>3482829.65</v>
      </c>
      <c r="F467">
        <v>36</v>
      </c>
      <c r="G467">
        <v>125381867.40000001</v>
      </c>
      <c r="H467" t="s">
        <v>1388</v>
      </c>
    </row>
    <row r="468" spans="1:8" x14ac:dyDescent="0.25">
      <c r="A468" t="s">
        <v>1194</v>
      </c>
      <c r="B468" t="s">
        <v>45</v>
      </c>
      <c r="C468" t="s">
        <v>46</v>
      </c>
      <c r="D468" t="s">
        <v>19</v>
      </c>
      <c r="E468">
        <v>1319531.76</v>
      </c>
      <c r="F468">
        <v>63</v>
      </c>
      <c r="G468">
        <v>83130500.879999995</v>
      </c>
      <c r="H468" t="s">
        <v>1388</v>
      </c>
    </row>
    <row r="469" spans="1:8" x14ac:dyDescent="0.25">
      <c r="A469" t="s">
        <v>1194</v>
      </c>
      <c r="B469" t="s">
        <v>393</v>
      </c>
      <c r="C469" t="s">
        <v>394</v>
      </c>
      <c r="D469" t="s">
        <v>26</v>
      </c>
      <c r="E469">
        <v>1109446.17</v>
      </c>
      <c r="F469">
        <v>65</v>
      </c>
      <c r="G469">
        <v>72114001.049999997</v>
      </c>
      <c r="H469" t="s">
        <v>1388</v>
      </c>
    </row>
    <row r="470" spans="1:8" x14ac:dyDescent="0.25">
      <c r="A470" t="s">
        <v>1194</v>
      </c>
      <c r="B470" t="s">
        <v>463</v>
      </c>
      <c r="C470" t="s">
        <v>464</v>
      </c>
      <c r="D470" t="s">
        <v>19</v>
      </c>
      <c r="E470">
        <v>956266.62</v>
      </c>
      <c r="F470">
        <v>4</v>
      </c>
      <c r="G470">
        <v>3825066.48</v>
      </c>
      <c r="H470" t="s">
        <v>1388</v>
      </c>
    </row>
    <row r="471" spans="1:8" x14ac:dyDescent="0.25">
      <c r="A471" t="s">
        <v>1423</v>
      </c>
      <c r="B471" t="s">
        <v>33</v>
      </c>
      <c r="C471" t="s">
        <v>34</v>
      </c>
      <c r="D471" t="s">
        <v>10</v>
      </c>
      <c r="E471">
        <v>299013.15999999997</v>
      </c>
      <c r="F471">
        <v>67</v>
      </c>
      <c r="G471">
        <v>20033881.719999999</v>
      </c>
      <c r="H471" t="s">
        <v>1388</v>
      </c>
    </row>
    <row r="472" spans="1:8" x14ac:dyDescent="0.25">
      <c r="A472" t="s">
        <v>1423</v>
      </c>
      <c r="B472" t="s">
        <v>933</v>
      </c>
      <c r="C472" t="s">
        <v>934</v>
      </c>
      <c r="D472" t="s">
        <v>10</v>
      </c>
      <c r="E472">
        <v>1472072.55</v>
      </c>
      <c r="F472">
        <v>54</v>
      </c>
      <c r="G472">
        <v>79491917.700000003</v>
      </c>
      <c r="H472" t="s">
        <v>1388</v>
      </c>
    </row>
    <row r="473" spans="1:8" x14ac:dyDescent="0.25">
      <c r="A473" t="s">
        <v>1196</v>
      </c>
      <c r="B473" t="s">
        <v>27</v>
      </c>
      <c r="C473" t="s">
        <v>28</v>
      </c>
      <c r="D473" t="s">
        <v>14</v>
      </c>
      <c r="E473">
        <v>710883.95</v>
      </c>
      <c r="F473">
        <v>71</v>
      </c>
      <c r="G473">
        <v>50472760.450000003</v>
      </c>
      <c r="H473" t="s">
        <v>1388</v>
      </c>
    </row>
    <row r="474" spans="1:8" x14ac:dyDescent="0.25">
      <c r="A474" t="s">
        <v>1196</v>
      </c>
      <c r="B474" t="s">
        <v>231</v>
      </c>
      <c r="C474" t="s">
        <v>232</v>
      </c>
      <c r="D474" t="s">
        <v>10</v>
      </c>
      <c r="E474">
        <v>316114.67</v>
      </c>
      <c r="F474">
        <v>50</v>
      </c>
      <c r="G474">
        <v>15805733.5</v>
      </c>
      <c r="H474" t="s">
        <v>1388</v>
      </c>
    </row>
    <row r="475" spans="1:8" x14ac:dyDescent="0.25">
      <c r="A475" t="s">
        <v>1196</v>
      </c>
      <c r="B475" t="s">
        <v>647</v>
      </c>
      <c r="C475" t="s">
        <v>648</v>
      </c>
      <c r="D475" t="s">
        <v>19</v>
      </c>
      <c r="E475">
        <v>1836747.3</v>
      </c>
      <c r="F475">
        <v>15</v>
      </c>
      <c r="G475">
        <v>27551209.5</v>
      </c>
      <c r="H475" t="s">
        <v>1388</v>
      </c>
    </row>
    <row r="476" spans="1:8" x14ac:dyDescent="0.25">
      <c r="A476" t="s">
        <v>1197</v>
      </c>
      <c r="B476" t="s">
        <v>513</v>
      </c>
      <c r="C476" t="s">
        <v>514</v>
      </c>
      <c r="D476" t="s">
        <v>26</v>
      </c>
      <c r="E476">
        <v>2539509.5299999998</v>
      </c>
      <c r="F476">
        <v>4</v>
      </c>
      <c r="G476">
        <v>10158038.119999999</v>
      </c>
      <c r="H476" t="s">
        <v>1388</v>
      </c>
    </row>
    <row r="477" spans="1:8" x14ac:dyDescent="0.25">
      <c r="A477" t="s">
        <v>1197</v>
      </c>
      <c r="B477" t="s">
        <v>133</v>
      </c>
      <c r="C477" t="s">
        <v>134</v>
      </c>
      <c r="D477" t="s">
        <v>14</v>
      </c>
      <c r="E477">
        <v>897285.57</v>
      </c>
      <c r="F477">
        <v>20</v>
      </c>
      <c r="G477">
        <v>17945711.399999999</v>
      </c>
      <c r="H477" t="s">
        <v>1388</v>
      </c>
    </row>
    <row r="478" spans="1:8" x14ac:dyDescent="0.25">
      <c r="A478" t="s">
        <v>1198</v>
      </c>
      <c r="B478" t="s">
        <v>271</v>
      </c>
      <c r="C478" t="s">
        <v>272</v>
      </c>
      <c r="D478" t="s">
        <v>19</v>
      </c>
      <c r="E478">
        <v>907017.02</v>
      </c>
      <c r="F478">
        <v>67</v>
      </c>
      <c r="G478">
        <v>60770140.340000004</v>
      </c>
      <c r="H478" t="s">
        <v>1388</v>
      </c>
    </row>
    <row r="479" spans="1:8" x14ac:dyDescent="0.25">
      <c r="A479" t="s">
        <v>1199</v>
      </c>
      <c r="B479" t="s">
        <v>417</v>
      </c>
      <c r="C479" t="s">
        <v>418</v>
      </c>
      <c r="D479" t="s">
        <v>10</v>
      </c>
      <c r="E479">
        <v>227918.67</v>
      </c>
      <c r="F479">
        <v>33</v>
      </c>
      <c r="G479">
        <v>7521316.1100000003</v>
      </c>
      <c r="H479" t="s">
        <v>1388</v>
      </c>
    </row>
    <row r="480" spans="1:8" x14ac:dyDescent="0.25">
      <c r="A480" t="s">
        <v>1199</v>
      </c>
      <c r="B480" t="s">
        <v>949</v>
      </c>
      <c r="C480" t="s">
        <v>950</v>
      </c>
      <c r="D480" t="s">
        <v>19</v>
      </c>
      <c r="E480">
        <v>1481124.95</v>
      </c>
      <c r="F480">
        <v>4</v>
      </c>
      <c r="G480">
        <v>5924499.7999999998</v>
      </c>
      <c r="H480" t="s">
        <v>1388</v>
      </c>
    </row>
    <row r="481" spans="1:8" x14ac:dyDescent="0.25">
      <c r="A481" t="s">
        <v>1199</v>
      </c>
      <c r="B481" t="s">
        <v>147</v>
      </c>
      <c r="C481" t="s">
        <v>148</v>
      </c>
      <c r="D481" t="s">
        <v>19</v>
      </c>
      <c r="E481">
        <v>1167479.26</v>
      </c>
      <c r="F481">
        <v>52</v>
      </c>
      <c r="G481">
        <v>60708921.520000003</v>
      </c>
      <c r="H481" t="s">
        <v>1388</v>
      </c>
    </row>
    <row r="482" spans="1:8" x14ac:dyDescent="0.25">
      <c r="A482" t="s">
        <v>1199</v>
      </c>
      <c r="B482" t="s">
        <v>73</v>
      </c>
      <c r="C482" t="s">
        <v>74</v>
      </c>
      <c r="D482" t="s">
        <v>10</v>
      </c>
      <c r="E482">
        <v>888869.78</v>
      </c>
      <c r="F482">
        <v>72</v>
      </c>
      <c r="G482">
        <v>63998624.159999996</v>
      </c>
      <c r="H482" t="s">
        <v>1388</v>
      </c>
    </row>
    <row r="483" spans="1:8" x14ac:dyDescent="0.25">
      <c r="A483" t="s">
        <v>1200</v>
      </c>
      <c r="B483" t="s">
        <v>977</v>
      </c>
      <c r="C483" t="s">
        <v>978</v>
      </c>
      <c r="D483" t="s">
        <v>19</v>
      </c>
      <c r="E483">
        <v>247826.2</v>
      </c>
      <c r="F483">
        <v>8</v>
      </c>
      <c r="G483">
        <v>1982609.6</v>
      </c>
      <c r="H483" t="s">
        <v>1388</v>
      </c>
    </row>
    <row r="484" spans="1:8" x14ac:dyDescent="0.25">
      <c r="A484" t="s">
        <v>1200</v>
      </c>
      <c r="B484" t="s">
        <v>927</v>
      </c>
      <c r="C484" t="s">
        <v>928</v>
      </c>
      <c r="D484" t="s">
        <v>10</v>
      </c>
      <c r="E484">
        <v>1538981.61</v>
      </c>
      <c r="F484">
        <v>73</v>
      </c>
      <c r="G484">
        <v>112345657.53</v>
      </c>
      <c r="H484" t="s">
        <v>1388</v>
      </c>
    </row>
    <row r="485" spans="1:8" x14ac:dyDescent="0.25">
      <c r="A485" t="s">
        <v>1424</v>
      </c>
      <c r="B485" t="s">
        <v>821</v>
      </c>
      <c r="C485" t="s">
        <v>822</v>
      </c>
      <c r="D485" t="s">
        <v>19</v>
      </c>
      <c r="E485">
        <v>1210811.3400000001</v>
      </c>
      <c r="F485">
        <v>21</v>
      </c>
      <c r="G485">
        <v>25427038.140000001</v>
      </c>
      <c r="H485" t="s">
        <v>1388</v>
      </c>
    </row>
    <row r="486" spans="1:8" x14ac:dyDescent="0.25">
      <c r="A486" t="s">
        <v>1202</v>
      </c>
      <c r="B486" t="s">
        <v>897</v>
      </c>
      <c r="C486" t="s">
        <v>898</v>
      </c>
      <c r="D486" t="s">
        <v>19</v>
      </c>
      <c r="E486">
        <v>1116672.6599999999</v>
      </c>
      <c r="F486">
        <v>8</v>
      </c>
      <c r="G486">
        <v>8933381.2799999993</v>
      </c>
      <c r="H486" t="s">
        <v>1388</v>
      </c>
    </row>
    <row r="487" spans="1:8" x14ac:dyDescent="0.25">
      <c r="A487" t="s">
        <v>1202</v>
      </c>
      <c r="B487" t="s">
        <v>485</v>
      </c>
      <c r="C487" t="s">
        <v>486</v>
      </c>
      <c r="D487" t="s">
        <v>19</v>
      </c>
      <c r="E487">
        <v>1608724.37</v>
      </c>
      <c r="F487">
        <v>4</v>
      </c>
      <c r="G487">
        <v>6434897.4800000004</v>
      </c>
      <c r="H487" t="s">
        <v>1388</v>
      </c>
    </row>
    <row r="488" spans="1:8" x14ac:dyDescent="0.25">
      <c r="A488" t="s">
        <v>1425</v>
      </c>
      <c r="B488" t="s">
        <v>711</v>
      </c>
      <c r="C488" t="s">
        <v>712</v>
      </c>
      <c r="D488" t="s">
        <v>26</v>
      </c>
      <c r="E488">
        <v>3185466.96</v>
      </c>
      <c r="F488">
        <v>64</v>
      </c>
      <c r="G488">
        <v>203869885.44</v>
      </c>
      <c r="H488" t="s">
        <v>1388</v>
      </c>
    </row>
    <row r="489" spans="1:8" x14ac:dyDescent="0.25">
      <c r="A489" t="s">
        <v>1425</v>
      </c>
      <c r="B489" t="s">
        <v>375</v>
      </c>
      <c r="C489" t="s">
        <v>376</v>
      </c>
      <c r="D489" t="s">
        <v>10</v>
      </c>
      <c r="E489">
        <v>1347586.86</v>
      </c>
      <c r="F489">
        <v>9</v>
      </c>
      <c r="G489">
        <v>12128281.74</v>
      </c>
      <c r="H489" t="s">
        <v>1388</v>
      </c>
    </row>
    <row r="490" spans="1:8" x14ac:dyDescent="0.25">
      <c r="A490" t="s">
        <v>1425</v>
      </c>
      <c r="B490" t="s">
        <v>141</v>
      </c>
      <c r="C490" t="s">
        <v>142</v>
      </c>
      <c r="D490" t="s">
        <v>14</v>
      </c>
      <c r="E490">
        <v>610344.36</v>
      </c>
      <c r="F490">
        <v>46</v>
      </c>
      <c r="G490">
        <v>28075840.559999999</v>
      </c>
      <c r="H490" t="s">
        <v>1388</v>
      </c>
    </row>
    <row r="491" spans="1:8" x14ac:dyDescent="0.25">
      <c r="A491" t="s">
        <v>1425</v>
      </c>
      <c r="B491" t="s">
        <v>321</v>
      </c>
      <c r="C491" t="s">
        <v>322</v>
      </c>
      <c r="D491" t="s">
        <v>19</v>
      </c>
      <c r="E491">
        <v>1798085.18</v>
      </c>
      <c r="F491">
        <v>75</v>
      </c>
      <c r="G491">
        <v>134856388.5</v>
      </c>
      <c r="H491" t="s">
        <v>1388</v>
      </c>
    </row>
    <row r="492" spans="1:8" x14ac:dyDescent="0.25">
      <c r="A492" t="s">
        <v>1425</v>
      </c>
      <c r="B492" t="s">
        <v>187</v>
      </c>
      <c r="C492" t="s">
        <v>188</v>
      </c>
      <c r="D492" t="s">
        <v>19</v>
      </c>
      <c r="E492">
        <v>633524.59</v>
      </c>
      <c r="F492">
        <v>5</v>
      </c>
      <c r="G492">
        <v>3167622.95</v>
      </c>
      <c r="H492" t="s">
        <v>1388</v>
      </c>
    </row>
    <row r="493" spans="1:8" x14ac:dyDescent="0.25">
      <c r="A493" t="s">
        <v>1425</v>
      </c>
      <c r="B493" t="s">
        <v>671</v>
      </c>
      <c r="C493" t="s">
        <v>672</v>
      </c>
      <c r="D493" t="s">
        <v>19</v>
      </c>
      <c r="E493">
        <v>342979.53</v>
      </c>
      <c r="F493">
        <v>69</v>
      </c>
      <c r="G493">
        <v>23665587.57</v>
      </c>
      <c r="H493" t="s">
        <v>1388</v>
      </c>
    </row>
    <row r="494" spans="1:8" x14ac:dyDescent="0.25">
      <c r="A494" t="s">
        <v>1426</v>
      </c>
      <c r="B494" t="s">
        <v>437</v>
      </c>
      <c r="C494" t="s">
        <v>438</v>
      </c>
      <c r="D494" t="s">
        <v>14</v>
      </c>
      <c r="E494">
        <v>535955.51</v>
      </c>
      <c r="F494">
        <v>76</v>
      </c>
      <c r="G494">
        <v>40732618.759999998</v>
      </c>
      <c r="H494" t="s">
        <v>1388</v>
      </c>
    </row>
    <row r="495" spans="1:8" x14ac:dyDescent="0.25">
      <c r="A495" t="s">
        <v>1426</v>
      </c>
      <c r="B495" t="s">
        <v>585</v>
      </c>
      <c r="C495" t="s">
        <v>586</v>
      </c>
      <c r="D495" t="s">
        <v>10</v>
      </c>
      <c r="E495">
        <v>1499361.26</v>
      </c>
      <c r="F495">
        <v>57</v>
      </c>
      <c r="G495">
        <v>85463591.819999993</v>
      </c>
      <c r="H495" t="s">
        <v>1388</v>
      </c>
    </row>
    <row r="496" spans="1:8" x14ac:dyDescent="0.25">
      <c r="A496" t="s">
        <v>1203</v>
      </c>
      <c r="B496" t="s">
        <v>259</v>
      </c>
      <c r="C496" t="s">
        <v>260</v>
      </c>
      <c r="D496" t="s">
        <v>10</v>
      </c>
      <c r="E496">
        <v>1163906.1399999999</v>
      </c>
      <c r="F496">
        <v>24</v>
      </c>
      <c r="G496">
        <v>27933747.359999999</v>
      </c>
      <c r="H496" t="s">
        <v>1388</v>
      </c>
    </row>
    <row r="497" spans="1:8" x14ac:dyDescent="0.25">
      <c r="A497" t="s">
        <v>1204</v>
      </c>
      <c r="B497" t="s">
        <v>145</v>
      </c>
      <c r="C497" t="s">
        <v>146</v>
      </c>
      <c r="D497" t="s">
        <v>19</v>
      </c>
      <c r="E497">
        <v>1344345.51</v>
      </c>
      <c r="F497">
        <v>3</v>
      </c>
      <c r="G497">
        <v>4033036.53</v>
      </c>
      <c r="H497" t="s">
        <v>1388</v>
      </c>
    </row>
    <row r="498" spans="1:8" x14ac:dyDescent="0.25">
      <c r="A498" t="s">
        <v>1206</v>
      </c>
      <c r="B498" t="s">
        <v>887</v>
      </c>
      <c r="C498" t="s">
        <v>888</v>
      </c>
      <c r="D498" t="s">
        <v>19</v>
      </c>
      <c r="E498">
        <v>443784.68</v>
      </c>
      <c r="F498">
        <v>18</v>
      </c>
      <c r="G498">
        <v>7988124.2400000002</v>
      </c>
      <c r="H498" t="s">
        <v>1388</v>
      </c>
    </row>
    <row r="499" spans="1:8" x14ac:dyDescent="0.25">
      <c r="A499" t="s">
        <v>1206</v>
      </c>
      <c r="B499" t="s">
        <v>283</v>
      </c>
      <c r="C499" t="s">
        <v>284</v>
      </c>
      <c r="D499" t="s">
        <v>10</v>
      </c>
      <c r="E499">
        <v>334227.67</v>
      </c>
      <c r="F499">
        <v>22</v>
      </c>
      <c r="G499">
        <v>7353008.7400000002</v>
      </c>
      <c r="H499" t="s">
        <v>1388</v>
      </c>
    </row>
    <row r="500" spans="1:8" x14ac:dyDescent="0.25">
      <c r="A500" t="s">
        <v>1206</v>
      </c>
      <c r="B500" t="s">
        <v>439</v>
      </c>
      <c r="C500" t="s">
        <v>440</v>
      </c>
      <c r="D500" t="s">
        <v>14</v>
      </c>
      <c r="E500">
        <v>1115309.28</v>
      </c>
      <c r="F500">
        <v>33</v>
      </c>
      <c r="G500">
        <v>36805206.240000002</v>
      </c>
      <c r="H500" t="s">
        <v>1388</v>
      </c>
    </row>
    <row r="501" spans="1:8" x14ac:dyDescent="0.25">
      <c r="A501" t="s">
        <v>1206</v>
      </c>
      <c r="B501" t="s">
        <v>613</v>
      </c>
      <c r="C501" t="s">
        <v>614</v>
      </c>
      <c r="D501" t="s">
        <v>10</v>
      </c>
      <c r="E501">
        <v>526379.63</v>
      </c>
      <c r="F501">
        <v>1</v>
      </c>
      <c r="G501">
        <v>526379.63</v>
      </c>
      <c r="H501" t="s">
        <v>1388</v>
      </c>
    </row>
    <row r="502" spans="1:8" x14ac:dyDescent="0.25">
      <c r="A502" t="s">
        <v>1206</v>
      </c>
      <c r="B502" t="s">
        <v>863</v>
      </c>
      <c r="C502" t="s">
        <v>864</v>
      </c>
      <c r="D502" t="s">
        <v>14</v>
      </c>
      <c r="E502">
        <v>464395.73</v>
      </c>
      <c r="F502">
        <v>47</v>
      </c>
      <c r="G502">
        <v>21826599.309999999</v>
      </c>
      <c r="H502" t="s">
        <v>1388</v>
      </c>
    </row>
    <row r="503" spans="1:8" x14ac:dyDescent="0.25">
      <c r="A503" t="s">
        <v>1207</v>
      </c>
      <c r="B503" t="s">
        <v>283</v>
      </c>
      <c r="C503" t="s">
        <v>284</v>
      </c>
      <c r="D503" t="s">
        <v>10</v>
      </c>
      <c r="E503">
        <v>334090.43</v>
      </c>
      <c r="F503">
        <v>47</v>
      </c>
      <c r="G503">
        <v>15702250.210000001</v>
      </c>
      <c r="H503" t="s">
        <v>1388</v>
      </c>
    </row>
    <row r="504" spans="1:8" x14ac:dyDescent="0.25">
      <c r="A504" t="s">
        <v>1208</v>
      </c>
      <c r="B504" t="s">
        <v>379</v>
      </c>
      <c r="C504" t="s">
        <v>380</v>
      </c>
      <c r="D504" t="s">
        <v>10</v>
      </c>
      <c r="E504">
        <v>319356</v>
      </c>
      <c r="F504">
        <v>51</v>
      </c>
      <c r="G504">
        <v>16287156</v>
      </c>
      <c r="H504" t="s">
        <v>1388</v>
      </c>
    </row>
    <row r="505" spans="1:8" x14ac:dyDescent="0.25">
      <c r="A505" t="s">
        <v>1209</v>
      </c>
      <c r="B505" t="s">
        <v>483</v>
      </c>
      <c r="C505" t="s">
        <v>484</v>
      </c>
      <c r="D505" t="s">
        <v>14</v>
      </c>
      <c r="E505">
        <v>1180563.49</v>
      </c>
      <c r="F505">
        <v>17</v>
      </c>
      <c r="G505">
        <v>20069579.329999998</v>
      </c>
      <c r="H505" t="s">
        <v>1388</v>
      </c>
    </row>
    <row r="506" spans="1:8" x14ac:dyDescent="0.25">
      <c r="A506" t="s">
        <v>1209</v>
      </c>
      <c r="B506" t="s">
        <v>753</v>
      </c>
      <c r="C506" t="s">
        <v>754</v>
      </c>
      <c r="D506" t="s">
        <v>26</v>
      </c>
      <c r="E506">
        <v>467311.96</v>
      </c>
      <c r="F506">
        <v>65</v>
      </c>
      <c r="G506">
        <v>30375277.399999999</v>
      </c>
      <c r="H506" t="s">
        <v>1388</v>
      </c>
    </row>
    <row r="507" spans="1:8" x14ac:dyDescent="0.25">
      <c r="A507" t="s">
        <v>1209</v>
      </c>
      <c r="B507" t="s">
        <v>453</v>
      </c>
      <c r="C507" t="s">
        <v>454</v>
      </c>
      <c r="D507" t="s">
        <v>19</v>
      </c>
      <c r="E507">
        <v>1502430.27</v>
      </c>
      <c r="F507">
        <v>31</v>
      </c>
      <c r="G507">
        <v>46575338.369999997</v>
      </c>
      <c r="H507" t="s">
        <v>1388</v>
      </c>
    </row>
    <row r="508" spans="1:8" x14ac:dyDescent="0.25">
      <c r="A508" t="s">
        <v>1211</v>
      </c>
      <c r="B508" t="s">
        <v>781</v>
      </c>
      <c r="C508" t="s">
        <v>782</v>
      </c>
      <c r="D508" t="s">
        <v>14</v>
      </c>
      <c r="E508">
        <v>1092034.8799999999</v>
      </c>
      <c r="F508">
        <v>68</v>
      </c>
      <c r="G508">
        <v>74258371.840000004</v>
      </c>
      <c r="H508" t="s">
        <v>1388</v>
      </c>
    </row>
    <row r="509" spans="1:8" x14ac:dyDescent="0.25">
      <c r="A509" t="s">
        <v>1212</v>
      </c>
      <c r="B509" t="s">
        <v>41</v>
      </c>
      <c r="C509" t="s">
        <v>42</v>
      </c>
      <c r="D509" t="s">
        <v>26</v>
      </c>
      <c r="E509">
        <v>3413902.69</v>
      </c>
      <c r="F509">
        <v>9</v>
      </c>
      <c r="G509">
        <v>30725124.210000001</v>
      </c>
      <c r="H509" t="s">
        <v>1388</v>
      </c>
    </row>
    <row r="510" spans="1:8" x14ac:dyDescent="0.25">
      <c r="A510" t="s">
        <v>1212</v>
      </c>
      <c r="B510" t="s">
        <v>693</v>
      </c>
      <c r="C510" t="s">
        <v>694</v>
      </c>
      <c r="D510" t="s">
        <v>14</v>
      </c>
      <c r="E510">
        <v>195743.1</v>
      </c>
      <c r="F510">
        <v>11</v>
      </c>
      <c r="G510">
        <v>2153174.1</v>
      </c>
      <c r="H510" t="s">
        <v>1388</v>
      </c>
    </row>
    <row r="511" spans="1:8" x14ac:dyDescent="0.25">
      <c r="A511" t="s">
        <v>1212</v>
      </c>
      <c r="B511" t="s">
        <v>801</v>
      </c>
      <c r="C511" t="s">
        <v>802</v>
      </c>
      <c r="D511" t="s">
        <v>14</v>
      </c>
      <c r="E511">
        <v>599274.01</v>
      </c>
      <c r="F511">
        <v>42</v>
      </c>
      <c r="G511">
        <v>25169508.420000002</v>
      </c>
      <c r="H511" t="s">
        <v>1388</v>
      </c>
    </row>
    <row r="512" spans="1:8" x14ac:dyDescent="0.25">
      <c r="A512" t="s">
        <v>1213</v>
      </c>
      <c r="B512" t="s">
        <v>179</v>
      </c>
      <c r="C512" t="s">
        <v>180</v>
      </c>
      <c r="D512" t="s">
        <v>19</v>
      </c>
      <c r="E512">
        <v>1992974.89</v>
      </c>
      <c r="F512">
        <v>24</v>
      </c>
      <c r="G512">
        <v>47831397.359999999</v>
      </c>
      <c r="H512" t="s">
        <v>1388</v>
      </c>
    </row>
    <row r="513" spans="1:8" x14ac:dyDescent="0.25">
      <c r="A513" t="s">
        <v>1214</v>
      </c>
      <c r="B513" t="s">
        <v>243</v>
      </c>
      <c r="C513" t="s">
        <v>244</v>
      </c>
      <c r="D513" t="s">
        <v>14</v>
      </c>
      <c r="E513">
        <v>376985.79</v>
      </c>
      <c r="F513">
        <v>26</v>
      </c>
      <c r="G513">
        <v>9801630.5399999991</v>
      </c>
      <c r="H513" t="s">
        <v>1388</v>
      </c>
    </row>
    <row r="514" spans="1:8" x14ac:dyDescent="0.25">
      <c r="A514" t="s">
        <v>1214</v>
      </c>
      <c r="B514" t="s">
        <v>221</v>
      </c>
      <c r="C514" t="s">
        <v>222</v>
      </c>
      <c r="D514" t="s">
        <v>26</v>
      </c>
      <c r="E514">
        <v>2059084.97</v>
      </c>
      <c r="F514">
        <v>61</v>
      </c>
      <c r="G514">
        <v>125604183.17</v>
      </c>
      <c r="H514" t="s">
        <v>1388</v>
      </c>
    </row>
    <row r="515" spans="1:8" x14ac:dyDescent="0.25">
      <c r="A515" t="s">
        <v>1215</v>
      </c>
      <c r="B515" t="s">
        <v>915</v>
      </c>
      <c r="C515" t="s">
        <v>916</v>
      </c>
      <c r="D515" t="s">
        <v>10</v>
      </c>
      <c r="E515">
        <v>565432.86</v>
      </c>
      <c r="F515">
        <v>67</v>
      </c>
      <c r="G515">
        <v>37884001.619999997</v>
      </c>
      <c r="H515" t="s">
        <v>1388</v>
      </c>
    </row>
    <row r="516" spans="1:8" x14ac:dyDescent="0.25">
      <c r="A516" t="s">
        <v>1215</v>
      </c>
      <c r="B516" t="s">
        <v>633</v>
      </c>
      <c r="C516" t="s">
        <v>634</v>
      </c>
      <c r="D516" t="s">
        <v>14</v>
      </c>
      <c r="E516">
        <v>709300.04</v>
      </c>
      <c r="F516">
        <v>29</v>
      </c>
      <c r="G516">
        <v>20569701.16</v>
      </c>
      <c r="H516" t="s">
        <v>1388</v>
      </c>
    </row>
    <row r="517" spans="1:8" x14ac:dyDescent="0.25">
      <c r="A517" t="s">
        <v>1215</v>
      </c>
      <c r="B517" t="s">
        <v>165</v>
      </c>
      <c r="C517" t="s">
        <v>166</v>
      </c>
      <c r="D517" t="s">
        <v>26</v>
      </c>
      <c r="E517">
        <v>2572108.2799999998</v>
      </c>
      <c r="F517">
        <v>18</v>
      </c>
      <c r="G517">
        <v>46297949.039999999</v>
      </c>
      <c r="H517" t="s">
        <v>1388</v>
      </c>
    </row>
    <row r="518" spans="1:8" x14ac:dyDescent="0.25">
      <c r="A518" t="s">
        <v>1215</v>
      </c>
      <c r="B518" t="s">
        <v>207</v>
      </c>
      <c r="C518" t="s">
        <v>208</v>
      </c>
      <c r="D518" t="s">
        <v>14</v>
      </c>
      <c r="E518">
        <v>607854.32999999996</v>
      </c>
      <c r="F518">
        <v>27</v>
      </c>
      <c r="G518">
        <v>16412066.91</v>
      </c>
      <c r="H518" t="s">
        <v>1388</v>
      </c>
    </row>
    <row r="519" spans="1:8" x14ac:dyDescent="0.25">
      <c r="A519" t="s">
        <v>1216</v>
      </c>
      <c r="B519" t="s">
        <v>393</v>
      </c>
      <c r="C519" t="s">
        <v>394</v>
      </c>
      <c r="D519" t="s">
        <v>26</v>
      </c>
      <c r="E519">
        <v>1067644.6100000001</v>
      </c>
      <c r="F519">
        <v>16</v>
      </c>
      <c r="G519">
        <v>17082313.760000002</v>
      </c>
      <c r="H519" t="s">
        <v>1388</v>
      </c>
    </row>
    <row r="520" spans="1:8" x14ac:dyDescent="0.25">
      <c r="A520" t="s">
        <v>1216</v>
      </c>
      <c r="B520" t="s">
        <v>357</v>
      </c>
      <c r="C520" t="s">
        <v>358</v>
      </c>
      <c r="D520" t="s">
        <v>19</v>
      </c>
      <c r="E520">
        <v>470237.44</v>
      </c>
      <c r="F520">
        <v>21</v>
      </c>
      <c r="G520">
        <v>9874986.2400000002</v>
      </c>
      <c r="H520" t="s">
        <v>1388</v>
      </c>
    </row>
    <row r="521" spans="1:8" x14ac:dyDescent="0.25">
      <c r="A521" t="s">
        <v>1216</v>
      </c>
      <c r="B521" t="s">
        <v>519</v>
      </c>
      <c r="C521" t="s">
        <v>520</v>
      </c>
      <c r="D521" t="s">
        <v>10</v>
      </c>
      <c r="E521">
        <v>285007.21999999997</v>
      </c>
      <c r="F521">
        <v>6</v>
      </c>
      <c r="G521">
        <v>1710043.32</v>
      </c>
      <c r="H521" t="s">
        <v>1388</v>
      </c>
    </row>
    <row r="522" spans="1:8" x14ac:dyDescent="0.25">
      <c r="A522" t="s">
        <v>1218</v>
      </c>
      <c r="B522" t="s">
        <v>469</v>
      </c>
      <c r="C522" t="s">
        <v>470</v>
      </c>
      <c r="D522" t="s">
        <v>14</v>
      </c>
      <c r="E522">
        <v>820405.37</v>
      </c>
      <c r="F522">
        <v>78</v>
      </c>
      <c r="G522">
        <v>63991618.859999999</v>
      </c>
      <c r="H522" t="s">
        <v>1388</v>
      </c>
    </row>
    <row r="523" spans="1:8" x14ac:dyDescent="0.25">
      <c r="A523" t="s">
        <v>1218</v>
      </c>
      <c r="B523" t="s">
        <v>841</v>
      </c>
      <c r="C523" t="s">
        <v>842</v>
      </c>
      <c r="D523" t="s">
        <v>26</v>
      </c>
      <c r="E523">
        <v>3078352.62</v>
      </c>
      <c r="F523">
        <v>66</v>
      </c>
      <c r="G523">
        <v>203171272.91999999</v>
      </c>
      <c r="H523" t="s">
        <v>1388</v>
      </c>
    </row>
    <row r="524" spans="1:8" x14ac:dyDescent="0.25">
      <c r="A524" t="s">
        <v>1218</v>
      </c>
      <c r="B524" t="s">
        <v>805</v>
      </c>
      <c r="C524" t="s">
        <v>806</v>
      </c>
      <c r="D524" t="s">
        <v>26</v>
      </c>
      <c r="E524">
        <v>3067947.9</v>
      </c>
      <c r="F524">
        <v>39</v>
      </c>
      <c r="G524">
        <v>119649968.09999999</v>
      </c>
      <c r="H524" t="s">
        <v>1388</v>
      </c>
    </row>
    <row r="525" spans="1:8" x14ac:dyDescent="0.25">
      <c r="A525" t="s">
        <v>1219</v>
      </c>
      <c r="B525" t="s">
        <v>619</v>
      </c>
      <c r="C525" t="s">
        <v>620</v>
      </c>
      <c r="D525" t="s">
        <v>10</v>
      </c>
      <c r="E525">
        <v>1540603.25</v>
      </c>
      <c r="F525">
        <v>57</v>
      </c>
      <c r="G525">
        <v>87814385.25</v>
      </c>
      <c r="H525" t="s">
        <v>1388</v>
      </c>
    </row>
    <row r="526" spans="1:8" x14ac:dyDescent="0.25">
      <c r="A526" t="s">
        <v>1220</v>
      </c>
      <c r="B526" t="s">
        <v>47</v>
      </c>
      <c r="C526" t="s">
        <v>48</v>
      </c>
      <c r="D526" t="s">
        <v>14</v>
      </c>
      <c r="E526">
        <v>64444.67</v>
      </c>
      <c r="F526">
        <v>49</v>
      </c>
      <c r="G526">
        <v>3157788.83</v>
      </c>
      <c r="H526" t="s">
        <v>1388</v>
      </c>
    </row>
    <row r="527" spans="1:8" x14ac:dyDescent="0.25">
      <c r="A527" t="s">
        <v>1220</v>
      </c>
      <c r="B527" t="s">
        <v>131</v>
      </c>
      <c r="C527" t="s">
        <v>132</v>
      </c>
      <c r="D527" t="s">
        <v>26</v>
      </c>
      <c r="E527">
        <v>2444224.13</v>
      </c>
      <c r="F527">
        <v>23</v>
      </c>
      <c r="G527">
        <v>56217154.990000002</v>
      </c>
      <c r="H527" t="s">
        <v>1388</v>
      </c>
    </row>
    <row r="528" spans="1:8" x14ac:dyDescent="0.25">
      <c r="A528" t="s">
        <v>1220</v>
      </c>
      <c r="B528" t="s">
        <v>137</v>
      </c>
      <c r="C528" t="s">
        <v>138</v>
      </c>
      <c r="D528" t="s">
        <v>10</v>
      </c>
      <c r="E528">
        <v>176906.73</v>
      </c>
      <c r="F528">
        <v>21</v>
      </c>
      <c r="G528">
        <v>3715041.33</v>
      </c>
      <c r="H528" t="s">
        <v>1388</v>
      </c>
    </row>
    <row r="529" spans="1:8" x14ac:dyDescent="0.25">
      <c r="A529" t="s">
        <v>1221</v>
      </c>
      <c r="B529" t="s">
        <v>467</v>
      </c>
      <c r="C529" t="s">
        <v>468</v>
      </c>
      <c r="D529" t="s">
        <v>19</v>
      </c>
      <c r="E529">
        <v>1870672.55</v>
      </c>
      <c r="F529">
        <v>49</v>
      </c>
      <c r="G529">
        <v>91662954.950000003</v>
      </c>
      <c r="H529" t="s">
        <v>1388</v>
      </c>
    </row>
    <row r="530" spans="1:8" x14ac:dyDescent="0.25">
      <c r="A530" t="s">
        <v>1427</v>
      </c>
      <c r="B530" t="s">
        <v>67</v>
      </c>
      <c r="C530" t="s">
        <v>68</v>
      </c>
      <c r="D530" t="s">
        <v>19</v>
      </c>
      <c r="E530">
        <v>415762.51</v>
      </c>
      <c r="F530">
        <v>58</v>
      </c>
      <c r="G530">
        <v>24114225.579999998</v>
      </c>
      <c r="H530" t="s">
        <v>1388</v>
      </c>
    </row>
    <row r="531" spans="1:8" x14ac:dyDescent="0.25">
      <c r="A531" t="s">
        <v>1427</v>
      </c>
      <c r="B531" t="s">
        <v>791</v>
      </c>
      <c r="C531" t="s">
        <v>792</v>
      </c>
      <c r="D531" t="s">
        <v>10</v>
      </c>
      <c r="E531">
        <v>769862.28</v>
      </c>
      <c r="F531">
        <v>20</v>
      </c>
      <c r="G531">
        <v>15397245.6</v>
      </c>
      <c r="H531" t="s">
        <v>1388</v>
      </c>
    </row>
    <row r="532" spans="1:8" x14ac:dyDescent="0.25">
      <c r="A532" t="s">
        <v>1224</v>
      </c>
      <c r="B532" t="s">
        <v>121</v>
      </c>
      <c r="C532" t="s">
        <v>122</v>
      </c>
      <c r="D532" t="s">
        <v>26</v>
      </c>
      <c r="E532">
        <v>3908053.58</v>
      </c>
      <c r="F532">
        <v>20</v>
      </c>
      <c r="G532">
        <v>78161071.599999994</v>
      </c>
      <c r="H532" t="s">
        <v>1388</v>
      </c>
    </row>
    <row r="533" spans="1:8" x14ac:dyDescent="0.25">
      <c r="A533" t="s">
        <v>1224</v>
      </c>
      <c r="B533" t="s">
        <v>757</v>
      </c>
      <c r="C533" t="s">
        <v>758</v>
      </c>
      <c r="D533" t="s">
        <v>14</v>
      </c>
      <c r="E533">
        <v>181926.13</v>
      </c>
      <c r="F533">
        <v>70</v>
      </c>
      <c r="G533">
        <v>12734829.1</v>
      </c>
      <c r="H533" t="s">
        <v>1388</v>
      </c>
    </row>
    <row r="534" spans="1:8" x14ac:dyDescent="0.25">
      <c r="A534" t="s">
        <v>1224</v>
      </c>
      <c r="B534" t="s">
        <v>863</v>
      </c>
      <c r="C534" t="s">
        <v>864</v>
      </c>
      <c r="D534" t="s">
        <v>14</v>
      </c>
      <c r="E534">
        <v>444111.26</v>
      </c>
      <c r="F534">
        <v>48</v>
      </c>
      <c r="G534">
        <v>21317340.48</v>
      </c>
      <c r="H534" t="s">
        <v>1388</v>
      </c>
    </row>
    <row r="535" spans="1:8" x14ac:dyDescent="0.25">
      <c r="A535" t="s">
        <v>1224</v>
      </c>
      <c r="B535" t="s">
        <v>635</v>
      </c>
      <c r="C535" t="s">
        <v>636</v>
      </c>
      <c r="D535" t="s">
        <v>10</v>
      </c>
      <c r="E535">
        <v>590015.64</v>
      </c>
      <c r="F535">
        <v>14</v>
      </c>
      <c r="G535">
        <v>8260218.96</v>
      </c>
      <c r="H535" t="s">
        <v>1388</v>
      </c>
    </row>
    <row r="536" spans="1:8" x14ac:dyDescent="0.25">
      <c r="A536" t="s">
        <v>1227</v>
      </c>
      <c r="B536" t="s">
        <v>65</v>
      </c>
      <c r="C536" t="s">
        <v>66</v>
      </c>
      <c r="D536" t="s">
        <v>14</v>
      </c>
      <c r="E536">
        <v>88635.85</v>
      </c>
      <c r="F536">
        <v>21</v>
      </c>
      <c r="G536">
        <v>1861352.85</v>
      </c>
      <c r="H536" t="s">
        <v>1388</v>
      </c>
    </row>
    <row r="537" spans="1:8" x14ac:dyDescent="0.25">
      <c r="A537" t="s">
        <v>1228</v>
      </c>
      <c r="B537" t="s">
        <v>473</v>
      </c>
      <c r="C537" t="s">
        <v>474</v>
      </c>
      <c r="D537" t="s">
        <v>19</v>
      </c>
      <c r="E537">
        <v>1257704.6000000001</v>
      </c>
      <c r="F537">
        <v>65</v>
      </c>
      <c r="G537">
        <v>81750799</v>
      </c>
      <c r="H537" t="s">
        <v>1388</v>
      </c>
    </row>
    <row r="538" spans="1:8" x14ac:dyDescent="0.25">
      <c r="A538" t="s">
        <v>1228</v>
      </c>
      <c r="B538" t="s">
        <v>537</v>
      </c>
      <c r="C538" t="s">
        <v>538</v>
      </c>
      <c r="D538" t="s">
        <v>14</v>
      </c>
      <c r="E538">
        <v>226919.31</v>
      </c>
      <c r="F538">
        <v>77</v>
      </c>
      <c r="G538">
        <v>17472786.870000001</v>
      </c>
      <c r="H538" t="s">
        <v>1388</v>
      </c>
    </row>
    <row r="539" spans="1:8" x14ac:dyDescent="0.25">
      <c r="A539" t="s">
        <v>1228</v>
      </c>
      <c r="B539" t="s">
        <v>313</v>
      </c>
      <c r="C539" t="s">
        <v>314</v>
      </c>
      <c r="D539" t="s">
        <v>26</v>
      </c>
      <c r="E539">
        <v>1563858.85</v>
      </c>
      <c r="F539">
        <v>16</v>
      </c>
      <c r="G539">
        <v>25021741.600000001</v>
      </c>
      <c r="H539" t="s">
        <v>1388</v>
      </c>
    </row>
    <row r="540" spans="1:8" x14ac:dyDescent="0.25">
      <c r="A540" t="s">
        <v>1229</v>
      </c>
      <c r="B540" t="s">
        <v>243</v>
      </c>
      <c r="C540" t="s">
        <v>244</v>
      </c>
      <c r="D540" t="s">
        <v>14</v>
      </c>
      <c r="E540">
        <v>372369.61</v>
      </c>
      <c r="F540">
        <v>19</v>
      </c>
      <c r="G540">
        <v>7075022.5899999999</v>
      </c>
      <c r="H540" t="s">
        <v>1388</v>
      </c>
    </row>
    <row r="541" spans="1:8" x14ac:dyDescent="0.25">
      <c r="A541" t="s">
        <v>1229</v>
      </c>
      <c r="B541" t="s">
        <v>647</v>
      </c>
      <c r="C541" t="s">
        <v>648</v>
      </c>
      <c r="D541" t="s">
        <v>19</v>
      </c>
      <c r="E541">
        <v>1896052.5</v>
      </c>
      <c r="F541">
        <v>71</v>
      </c>
      <c r="G541">
        <v>134619727.5</v>
      </c>
      <c r="H541" t="s">
        <v>1388</v>
      </c>
    </row>
    <row r="542" spans="1:8" x14ac:dyDescent="0.25">
      <c r="A542" t="s">
        <v>1229</v>
      </c>
      <c r="B542" t="s">
        <v>413</v>
      </c>
      <c r="C542" t="s">
        <v>414</v>
      </c>
      <c r="D542" t="s">
        <v>14</v>
      </c>
      <c r="E542">
        <v>930415.1</v>
      </c>
      <c r="F542">
        <v>5</v>
      </c>
      <c r="G542">
        <v>4652075.5</v>
      </c>
      <c r="H542" t="s">
        <v>1388</v>
      </c>
    </row>
    <row r="543" spans="1:8" x14ac:dyDescent="0.25">
      <c r="A543" t="s">
        <v>1230</v>
      </c>
      <c r="B543" t="s">
        <v>903</v>
      </c>
      <c r="C543" t="s">
        <v>904</v>
      </c>
      <c r="D543" t="s">
        <v>26</v>
      </c>
      <c r="E543">
        <v>473478.28</v>
      </c>
      <c r="F543">
        <v>58</v>
      </c>
      <c r="G543">
        <v>27461740.239999998</v>
      </c>
      <c r="H543" t="s">
        <v>1388</v>
      </c>
    </row>
    <row r="544" spans="1:8" x14ac:dyDescent="0.25">
      <c r="A544" t="s">
        <v>1230</v>
      </c>
      <c r="B544" t="s">
        <v>717</v>
      </c>
      <c r="C544" t="s">
        <v>718</v>
      </c>
      <c r="D544" t="s">
        <v>26</v>
      </c>
      <c r="E544">
        <v>3633458.31</v>
      </c>
      <c r="F544">
        <v>30</v>
      </c>
      <c r="G544">
        <v>109003749.3</v>
      </c>
      <c r="H544" t="s">
        <v>1388</v>
      </c>
    </row>
    <row r="545" spans="1:8" x14ac:dyDescent="0.25">
      <c r="A545" t="s">
        <v>1230</v>
      </c>
      <c r="B545" t="s">
        <v>22</v>
      </c>
      <c r="C545" t="s">
        <v>23</v>
      </c>
      <c r="D545" t="s">
        <v>19</v>
      </c>
      <c r="E545">
        <v>98891.15</v>
      </c>
      <c r="F545">
        <v>79</v>
      </c>
      <c r="G545">
        <v>7812400.8499999996</v>
      </c>
      <c r="H545" t="s">
        <v>1388</v>
      </c>
    </row>
    <row r="546" spans="1:8" x14ac:dyDescent="0.25">
      <c r="A546" t="s">
        <v>1231</v>
      </c>
      <c r="B546" t="s">
        <v>787</v>
      </c>
      <c r="C546" t="s">
        <v>788</v>
      </c>
      <c r="D546" t="s">
        <v>19</v>
      </c>
      <c r="E546">
        <v>2017878.02</v>
      </c>
      <c r="F546">
        <v>36</v>
      </c>
      <c r="G546">
        <v>72643608.719999999</v>
      </c>
      <c r="H546" t="s">
        <v>1388</v>
      </c>
    </row>
    <row r="547" spans="1:8" x14ac:dyDescent="0.25">
      <c r="A547" t="s">
        <v>1231</v>
      </c>
      <c r="B547" t="s">
        <v>187</v>
      </c>
      <c r="C547" t="s">
        <v>188</v>
      </c>
      <c r="D547" t="s">
        <v>19</v>
      </c>
      <c r="E547">
        <v>690614.66</v>
      </c>
      <c r="F547">
        <v>34</v>
      </c>
      <c r="G547">
        <v>23480898.440000001</v>
      </c>
      <c r="H547" t="s">
        <v>1388</v>
      </c>
    </row>
    <row r="548" spans="1:8" x14ac:dyDescent="0.25">
      <c r="A548" t="s">
        <v>1232</v>
      </c>
      <c r="B548" t="s">
        <v>393</v>
      </c>
      <c r="C548" t="s">
        <v>394</v>
      </c>
      <c r="D548" t="s">
        <v>26</v>
      </c>
      <c r="E548">
        <v>1066899.93</v>
      </c>
      <c r="F548">
        <v>55</v>
      </c>
      <c r="G548">
        <v>58679496.149999999</v>
      </c>
      <c r="H548" t="s">
        <v>1388</v>
      </c>
    </row>
    <row r="549" spans="1:8" x14ac:dyDescent="0.25">
      <c r="A549" t="s">
        <v>1232</v>
      </c>
      <c r="B549" t="s">
        <v>577</v>
      </c>
      <c r="C549" t="s">
        <v>578</v>
      </c>
      <c r="D549" t="s">
        <v>19</v>
      </c>
      <c r="E549">
        <v>1166011.7</v>
      </c>
      <c r="F549">
        <v>72</v>
      </c>
      <c r="G549">
        <v>83952842.400000006</v>
      </c>
      <c r="H549" t="s">
        <v>1388</v>
      </c>
    </row>
    <row r="550" spans="1:8" x14ac:dyDescent="0.25">
      <c r="A550" t="s">
        <v>1233</v>
      </c>
      <c r="B550" t="s">
        <v>151</v>
      </c>
      <c r="C550" t="s">
        <v>152</v>
      </c>
      <c r="D550" t="s">
        <v>10</v>
      </c>
      <c r="E550">
        <v>1444697.92</v>
      </c>
      <c r="F550">
        <v>24</v>
      </c>
      <c r="G550">
        <v>34672750.079999998</v>
      </c>
      <c r="H550" t="s">
        <v>1388</v>
      </c>
    </row>
    <row r="551" spans="1:8" x14ac:dyDescent="0.25">
      <c r="A551" t="s">
        <v>1234</v>
      </c>
      <c r="B551" t="s">
        <v>723</v>
      </c>
      <c r="C551" t="s">
        <v>724</v>
      </c>
      <c r="D551" t="s">
        <v>26</v>
      </c>
      <c r="E551">
        <v>4231088.8</v>
      </c>
      <c r="F551">
        <v>38</v>
      </c>
      <c r="G551">
        <v>160781374.40000001</v>
      </c>
      <c r="H551" t="s">
        <v>1388</v>
      </c>
    </row>
    <row r="552" spans="1:8" x14ac:dyDescent="0.25">
      <c r="A552" t="s">
        <v>1234</v>
      </c>
      <c r="B552" t="s">
        <v>733</v>
      </c>
      <c r="C552" t="s">
        <v>734</v>
      </c>
      <c r="D552" t="s">
        <v>14</v>
      </c>
      <c r="E552">
        <v>337077.47</v>
      </c>
      <c r="F552">
        <v>43</v>
      </c>
      <c r="G552">
        <v>14494331.210000001</v>
      </c>
      <c r="H552" t="s">
        <v>1388</v>
      </c>
    </row>
    <row r="553" spans="1:8" x14ac:dyDescent="0.25">
      <c r="A553" t="s">
        <v>1236</v>
      </c>
      <c r="B553" t="s">
        <v>651</v>
      </c>
      <c r="C553" t="s">
        <v>652</v>
      </c>
      <c r="D553" t="s">
        <v>14</v>
      </c>
      <c r="E553">
        <v>581373.6</v>
      </c>
      <c r="F553">
        <v>27</v>
      </c>
      <c r="G553">
        <v>15697087.199999999</v>
      </c>
      <c r="H553" t="s">
        <v>1388</v>
      </c>
    </row>
    <row r="554" spans="1:8" x14ac:dyDescent="0.25">
      <c r="A554" t="s">
        <v>1237</v>
      </c>
      <c r="B554" t="s">
        <v>257</v>
      </c>
      <c r="C554" t="s">
        <v>258</v>
      </c>
      <c r="D554" t="s">
        <v>10</v>
      </c>
      <c r="E554">
        <v>1243168.44</v>
      </c>
      <c r="F554">
        <v>28</v>
      </c>
      <c r="G554">
        <v>34808716.32</v>
      </c>
      <c r="H554" t="s">
        <v>1388</v>
      </c>
    </row>
    <row r="555" spans="1:8" x14ac:dyDescent="0.25">
      <c r="A555" t="s">
        <v>1238</v>
      </c>
      <c r="B555" t="s">
        <v>83</v>
      </c>
      <c r="C555" t="s">
        <v>84</v>
      </c>
      <c r="D555" t="s">
        <v>19</v>
      </c>
      <c r="E555">
        <v>1946712.95</v>
      </c>
      <c r="F555">
        <v>42</v>
      </c>
      <c r="G555">
        <v>81761943.900000006</v>
      </c>
      <c r="H555" t="s">
        <v>1388</v>
      </c>
    </row>
    <row r="556" spans="1:8" x14ac:dyDescent="0.25">
      <c r="A556" t="s">
        <v>1238</v>
      </c>
      <c r="B556" t="s">
        <v>395</v>
      </c>
      <c r="C556" t="s">
        <v>396</v>
      </c>
      <c r="D556" t="s">
        <v>14</v>
      </c>
      <c r="E556">
        <v>213629.2</v>
      </c>
      <c r="F556">
        <v>21</v>
      </c>
      <c r="G556">
        <v>4486213.2</v>
      </c>
      <c r="H556" t="s">
        <v>1388</v>
      </c>
    </row>
    <row r="557" spans="1:8" x14ac:dyDescent="0.25">
      <c r="A557" t="s">
        <v>1239</v>
      </c>
      <c r="B557" t="s">
        <v>47</v>
      </c>
      <c r="C557" t="s">
        <v>48</v>
      </c>
      <c r="D557" t="s">
        <v>14</v>
      </c>
      <c r="E557">
        <v>64598.9</v>
      </c>
      <c r="F557">
        <v>16</v>
      </c>
      <c r="G557">
        <v>1033582.4</v>
      </c>
      <c r="H557" t="s">
        <v>1388</v>
      </c>
    </row>
    <row r="558" spans="1:8" x14ac:dyDescent="0.25">
      <c r="A558" t="s">
        <v>1239</v>
      </c>
      <c r="B558" t="s">
        <v>609</v>
      </c>
      <c r="C558" t="s">
        <v>610</v>
      </c>
      <c r="D558" t="s">
        <v>14</v>
      </c>
      <c r="E558">
        <v>421895.14</v>
      </c>
      <c r="F558">
        <v>78</v>
      </c>
      <c r="G558">
        <v>32907820.920000002</v>
      </c>
      <c r="H558" t="s">
        <v>1388</v>
      </c>
    </row>
    <row r="559" spans="1:8" x14ac:dyDescent="0.25">
      <c r="A559" t="s">
        <v>1239</v>
      </c>
      <c r="B559" t="s">
        <v>99</v>
      </c>
      <c r="C559" t="s">
        <v>100</v>
      </c>
      <c r="D559" t="s">
        <v>14</v>
      </c>
      <c r="E559">
        <v>552484.92000000004</v>
      </c>
      <c r="F559">
        <v>39</v>
      </c>
      <c r="G559">
        <v>21546911.879999999</v>
      </c>
      <c r="H559" t="s">
        <v>1388</v>
      </c>
    </row>
    <row r="560" spans="1:8" x14ac:dyDescent="0.25">
      <c r="A560" t="s">
        <v>1239</v>
      </c>
      <c r="B560" t="s">
        <v>567</v>
      </c>
      <c r="C560" t="s">
        <v>568</v>
      </c>
      <c r="D560" t="s">
        <v>26</v>
      </c>
      <c r="E560">
        <v>611403.91</v>
      </c>
      <c r="F560">
        <v>19</v>
      </c>
      <c r="G560">
        <v>11616674.289999999</v>
      </c>
      <c r="H560" t="s">
        <v>1388</v>
      </c>
    </row>
    <row r="561" spans="1:8" x14ac:dyDescent="0.25">
      <c r="A561" t="s">
        <v>1239</v>
      </c>
      <c r="B561" t="s">
        <v>597</v>
      </c>
      <c r="C561" t="s">
        <v>598</v>
      </c>
      <c r="D561" t="s">
        <v>19</v>
      </c>
      <c r="E561">
        <v>442398.32</v>
      </c>
      <c r="F561">
        <v>18</v>
      </c>
      <c r="G561">
        <v>7963169.7599999998</v>
      </c>
      <c r="H561" t="s">
        <v>1388</v>
      </c>
    </row>
    <row r="562" spans="1:8" x14ac:dyDescent="0.25">
      <c r="A562" t="s">
        <v>1240</v>
      </c>
      <c r="B562" t="s">
        <v>929</v>
      </c>
      <c r="C562" t="s">
        <v>930</v>
      </c>
      <c r="D562" t="s">
        <v>10</v>
      </c>
      <c r="E562">
        <v>1317158.6000000001</v>
      </c>
      <c r="F562">
        <v>58</v>
      </c>
      <c r="G562">
        <v>76395198.799999997</v>
      </c>
      <c r="H562" t="s">
        <v>1388</v>
      </c>
    </row>
    <row r="563" spans="1:8" x14ac:dyDescent="0.25">
      <c r="A563" t="s">
        <v>1240</v>
      </c>
      <c r="B563" t="s">
        <v>805</v>
      </c>
      <c r="C563" t="s">
        <v>806</v>
      </c>
      <c r="D563" t="s">
        <v>26</v>
      </c>
      <c r="E563">
        <v>2836914.98</v>
      </c>
      <c r="F563">
        <v>17</v>
      </c>
      <c r="G563">
        <v>48227554.659999996</v>
      </c>
      <c r="H563" t="s">
        <v>1388</v>
      </c>
    </row>
    <row r="564" spans="1:8" x14ac:dyDescent="0.25">
      <c r="A564" t="s">
        <v>1240</v>
      </c>
      <c r="B564" t="s">
        <v>665</v>
      </c>
      <c r="C564" t="s">
        <v>666</v>
      </c>
      <c r="D564" t="s">
        <v>10</v>
      </c>
      <c r="E564">
        <v>462268.63</v>
      </c>
      <c r="F564">
        <v>57</v>
      </c>
      <c r="G564">
        <v>26349311.91</v>
      </c>
      <c r="H564" t="s">
        <v>1388</v>
      </c>
    </row>
    <row r="565" spans="1:8" x14ac:dyDescent="0.25">
      <c r="A565" t="s">
        <v>1240</v>
      </c>
      <c r="B565" t="s">
        <v>47</v>
      </c>
      <c r="C565" t="s">
        <v>48</v>
      </c>
      <c r="D565" t="s">
        <v>14</v>
      </c>
      <c r="E565">
        <v>70721.460000000006</v>
      </c>
      <c r="F565">
        <v>17</v>
      </c>
      <c r="G565">
        <v>1202264.82</v>
      </c>
      <c r="H565" t="s">
        <v>1388</v>
      </c>
    </row>
    <row r="566" spans="1:8" x14ac:dyDescent="0.25">
      <c r="A566" t="s">
        <v>1242</v>
      </c>
      <c r="B566" t="s">
        <v>353</v>
      </c>
      <c r="C566" t="s">
        <v>354</v>
      </c>
      <c r="D566" t="s">
        <v>14</v>
      </c>
      <c r="E566">
        <v>783146.59</v>
      </c>
      <c r="F566">
        <v>77</v>
      </c>
      <c r="G566">
        <v>60302287.43</v>
      </c>
      <c r="H566" t="s">
        <v>1388</v>
      </c>
    </row>
    <row r="567" spans="1:8" x14ac:dyDescent="0.25">
      <c r="A567" t="s">
        <v>1242</v>
      </c>
      <c r="B567" t="s">
        <v>785</v>
      </c>
      <c r="C567" t="s">
        <v>786</v>
      </c>
      <c r="D567" t="s">
        <v>19</v>
      </c>
      <c r="E567">
        <v>1819797.37</v>
      </c>
      <c r="F567">
        <v>1</v>
      </c>
      <c r="G567">
        <v>1819797.37</v>
      </c>
      <c r="H567" t="s">
        <v>1388</v>
      </c>
    </row>
    <row r="568" spans="1:8" x14ac:dyDescent="0.25">
      <c r="A568" t="s">
        <v>1242</v>
      </c>
      <c r="B568" t="s">
        <v>313</v>
      </c>
      <c r="C568" t="s">
        <v>314</v>
      </c>
      <c r="D568" t="s">
        <v>26</v>
      </c>
      <c r="E568">
        <v>1520227.44</v>
      </c>
      <c r="F568">
        <v>60</v>
      </c>
      <c r="G568">
        <v>91213646.400000006</v>
      </c>
      <c r="H568" t="s">
        <v>1388</v>
      </c>
    </row>
    <row r="569" spans="1:8" x14ac:dyDescent="0.25">
      <c r="A569" t="s">
        <v>1243</v>
      </c>
      <c r="B569" t="s">
        <v>411</v>
      </c>
      <c r="C569" t="s">
        <v>412</v>
      </c>
      <c r="D569" t="s">
        <v>14</v>
      </c>
      <c r="E569">
        <v>799775.23</v>
      </c>
      <c r="F569">
        <v>45</v>
      </c>
      <c r="G569">
        <v>35989885.350000001</v>
      </c>
      <c r="H569" t="s">
        <v>1388</v>
      </c>
    </row>
    <row r="570" spans="1:8" x14ac:dyDescent="0.25">
      <c r="A570" t="s">
        <v>1243</v>
      </c>
      <c r="B570" t="s">
        <v>111</v>
      </c>
      <c r="C570" t="s">
        <v>112</v>
      </c>
      <c r="D570" t="s">
        <v>19</v>
      </c>
      <c r="E570">
        <v>679258.56</v>
      </c>
      <c r="F570">
        <v>15</v>
      </c>
      <c r="G570">
        <v>10188878.4</v>
      </c>
      <c r="H570" t="s">
        <v>1388</v>
      </c>
    </row>
    <row r="571" spans="1:8" x14ac:dyDescent="0.25">
      <c r="A571" t="s">
        <v>1243</v>
      </c>
      <c r="B571" t="s">
        <v>555</v>
      </c>
      <c r="C571" t="s">
        <v>556</v>
      </c>
      <c r="D571" t="s">
        <v>10</v>
      </c>
      <c r="E571">
        <v>348378.55</v>
      </c>
      <c r="F571">
        <v>66</v>
      </c>
      <c r="G571">
        <v>22992984.300000001</v>
      </c>
      <c r="H571" t="s">
        <v>1388</v>
      </c>
    </row>
    <row r="572" spans="1:8" x14ac:dyDescent="0.25">
      <c r="A572" t="s">
        <v>1244</v>
      </c>
      <c r="B572" t="s">
        <v>791</v>
      </c>
      <c r="C572" t="s">
        <v>792</v>
      </c>
      <c r="D572" t="s">
        <v>10</v>
      </c>
      <c r="E572">
        <v>855038.48</v>
      </c>
      <c r="F572">
        <v>69</v>
      </c>
      <c r="G572">
        <v>58997655.119999997</v>
      </c>
      <c r="H572" t="s">
        <v>1388</v>
      </c>
    </row>
    <row r="573" spans="1:8" x14ac:dyDescent="0.25">
      <c r="A573" t="s">
        <v>1244</v>
      </c>
      <c r="B573" t="s">
        <v>897</v>
      </c>
      <c r="C573" t="s">
        <v>898</v>
      </c>
      <c r="D573" t="s">
        <v>19</v>
      </c>
      <c r="E573">
        <v>1199173.24</v>
      </c>
      <c r="F573">
        <v>57</v>
      </c>
      <c r="G573">
        <v>68352874.680000007</v>
      </c>
      <c r="H573" t="s">
        <v>1388</v>
      </c>
    </row>
    <row r="574" spans="1:8" x14ac:dyDescent="0.25">
      <c r="A574" t="s">
        <v>1244</v>
      </c>
      <c r="B574" t="s">
        <v>593</v>
      </c>
      <c r="C574" t="s">
        <v>594</v>
      </c>
      <c r="D574" t="s">
        <v>19</v>
      </c>
      <c r="E574">
        <v>595213.6</v>
      </c>
      <c r="F574">
        <v>4</v>
      </c>
      <c r="G574">
        <v>2380854.4</v>
      </c>
      <c r="H574" t="s">
        <v>1388</v>
      </c>
    </row>
    <row r="575" spans="1:8" x14ac:dyDescent="0.25">
      <c r="A575" t="s">
        <v>1245</v>
      </c>
      <c r="B575" t="s">
        <v>731</v>
      </c>
      <c r="C575" t="s">
        <v>732</v>
      </c>
      <c r="D575" t="s">
        <v>26</v>
      </c>
      <c r="E575">
        <v>1713567.95</v>
      </c>
      <c r="F575">
        <v>16</v>
      </c>
      <c r="G575">
        <v>27417087.199999999</v>
      </c>
      <c r="H575" t="s">
        <v>1388</v>
      </c>
    </row>
    <row r="576" spans="1:8" x14ac:dyDescent="0.25">
      <c r="A576" t="s">
        <v>1245</v>
      </c>
      <c r="B576" t="s">
        <v>923</v>
      </c>
      <c r="C576" t="s">
        <v>924</v>
      </c>
      <c r="D576" t="s">
        <v>19</v>
      </c>
      <c r="E576">
        <v>2012249.06</v>
      </c>
      <c r="F576">
        <v>76</v>
      </c>
      <c r="G576">
        <v>152930928.56</v>
      </c>
      <c r="H576" t="s">
        <v>1388</v>
      </c>
    </row>
    <row r="577" spans="1:8" x14ac:dyDescent="0.25">
      <c r="A577" t="s">
        <v>1245</v>
      </c>
      <c r="B577" t="s">
        <v>817</v>
      </c>
      <c r="C577" t="s">
        <v>818</v>
      </c>
      <c r="D577" t="s">
        <v>10</v>
      </c>
      <c r="E577">
        <v>1234846.71</v>
      </c>
      <c r="F577">
        <v>70</v>
      </c>
      <c r="G577">
        <v>86439269.700000003</v>
      </c>
      <c r="H577" t="s">
        <v>1388</v>
      </c>
    </row>
    <row r="578" spans="1:8" x14ac:dyDescent="0.25">
      <c r="A578" t="s">
        <v>1246</v>
      </c>
      <c r="B578" t="s">
        <v>217</v>
      </c>
      <c r="C578" t="s">
        <v>218</v>
      </c>
      <c r="D578" t="s">
        <v>26</v>
      </c>
      <c r="E578">
        <v>1496911.15</v>
      </c>
      <c r="F578">
        <v>49</v>
      </c>
      <c r="G578">
        <v>73348646.349999994</v>
      </c>
      <c r="H578" t="s">
        <v>1388</v>
      </c>
    </row>
    <row r="579" spans="1:8" x14ac:dyDescent="0.25">
      <c r="A579" t="s">
        <v>1246</v>
      </c>
      <c r="B579" t="s">
        <v>865</v>
      </c>
      <c r="C579" t="s">
        <v>866</v>
      </c>
      <c r="D579" t="s">
        <v>14</v>
      </c>
      <c r="E579">
        <v>1246771.6200000001</v>
      </c>
      <c r="F579">
        <v>5</v>
      </c>
      <c r="G579">
        <v>6233858.0999999996</v>
      </c>
      <c r="H579" t="s">
        <v>1388</v>
      </c>
    </row>
    <row r="580" spans="1:8" x14ac:dyDescent="0.25">
      <c r="A580" t="s">
        <v>1246</v>
      </c>
      <c r="B580" t="s">
        <v>141</v>
      </c>
      <c r="C580" t="s">
        <v>142</v>
      </c>
      <c r="D580" t="s">
        <v>14</v>
      </c>
      <c r="E580">
        <v>596523.35</v>
      </c>
      <c r="F580">
        <v>33</v>
      </c>
      <c r="G580">
        <v>19685270.550000001</v>
      </c>
      <c r="H580" t="s">
        <v>1388</v>
      </c>
    </row>
    <row r="581" spans="1:8" x14ac:dyDescent="0.25">
      <c r="A581" t="s">
        <v>1247</v>
      </c>
      <c r="B581" t="s">
        <v>89</v>
      </c>
      <c r="C581" t="s">
        <v>90</v>
      </c>
      <c r="D581" t="s">
        <v>26</v>
      </c>
      <c r="E581">
        <v>1176130.07</v>
      </c>
      <c r="F581">
        <v>7</v>
      </c>
      <c r="G581">
        <v>8232910.4900000002</v>
      </c>
      <c r="H581" t="s">
        <v>1388</v>
      </c>
    </row>
    <row r="582" spans="1:8" x14ac:dyDescent="0.25">
      <c r="A582" t="s">
        <v>1247</v>
      </c>
      <c r="B582" t="s">
        <v>623</v>
      </c>
      <c r="C582" t="s">
        <v>624</v>
      </c>
      <c r="D582" t="s">
        <v>26</v>
      </c>
      <c r="E582">
        <v>3387247.32</v>
      </c>
      <c r="F582">
        <v>75</v>
      </c>
      <c r="G582">
        <v>254043549</v>
      </c>
      <c r="H582" t="s">
        <v>1388</v>
      </c>
    </row>
    <row r="583" spans="1:8" x14ac:dyDescent="0.25">
      <c r="A583" t="s">
        <v>1248</v>
      </c>
      <c r="B583" t="s">
        <v>909</v>
      </c>
      <c r="C583" t="s">
        <v>910</v>
      </c>
      <c r="D583" t="s">
        <v>14</v>
      </c>
      <c r="E583">
        <v>246555.61</v>
      </c>
      <c r="F583">
        <v>37</v>
      </c>
      <c r="G583">
        <v>9122557.5700000003</v>
      </c>
      <c r="H583" t="s">
        <v>1388</v>
      </c>
    </row>
    <row r="584" spans="1:8" x14ac:dyDescent="0.25">
      <c r="A584" t="s">
        <v>1248</v>
      </c>
      <c r="B584" t="s">
        <v>309</v>
      </c>
      <c r="C584" t="s">
        <v>310</v>
      </c>
      <c r="D584" t="s">
        <v>26</v>
      </c>
      <c r="E584">
        <v>1896274.86</v>
      </c>
      <c r="F584">
        <v>64</v>
      </c>
      <c r="G584">
        <v>121361591.04000001</v>
      </c>
      <c r="H584" t="s">
        <v>1388</v>
      </c>
    </row>
    <row r="585" spans="1:8" x14ac:dyDescent="0.25">
      <c r="A585" t="s">
        <v>1249</v>
      </c>
      <c r="B585" t="s">
        <v>767</v>
      </c>
      <c r="C585" t="s">
        <v>768</v>
      </c>
      <c r="D585" t="s">
        <v>14</v>
      </c>
      <c r="E585">
        <v>83711.14</v>
      </c>
      <c r="F585">
        <v>4</v>
      </c>
      <c r="G585">
        <v>334844.56</v>
      </c>
      <c r="H585" t="s">
        <v>1388</v>
      </c>
    </row>
    <row r="586" spans="1:8" x14ac:dyDescent="0.25">
      <c r="A586" t="s">
        <v>1249</v>
      </c>
      <c r="B586" t="s">
        <v>317</v>
      </c>
      <c r="C586" t="s">
        <v>318</v>
      </c>
      <c r="D586" t="s">
        <v>26</v>
      </c>
      <c r="E586">
        <v>2049806.76</v>
      </c>
      <c r="F586">
        <v>49</v>
      </c>
      <c r="G586">
        <v>100440531.23999999</v>
      </c>
      <c r="H586" t="s">
        <v>1388</v>
      </c>
    </row>
    <row r="587" spans="1:8" x14ac:dyDescent="0.25">
      <c r="A587" t="s">
        <v>1249</v>
      </c>
      <c r="B587" t="s">
        <v>411</v>
      </c>
      <c r="C587" t="s">
        <v>412</v>
      </c>
      <c r="D587" t="s">
        <v>14</v>
      </c>
      <c r="E587">
        <v>706403.95</v>
      </c>
      <c r="F587">
        <v>38</v>
      </c>
      <c r="G587">
        <v>26843350.100000001</v>
      </c>
      <c r="H587" t="s">
        <v>1388</v>
      </c>
    </row>
    <row r="588" spans="1:8" x14ac:dyDescent="0.25">
      <c r="A588" t="s">
        <v>1250</v>
      </c>
      <c r="B588" t="s">
        <v>631</v>
      </c>
      <c r="C588" t="s">
        <v>632</v>
      </c>
      <c r="D588" t="s">
        <v>19</v>
      </c>
      <c r="E588">
        <v>1660875.67</v>
      </c>
      <c r="F588">
        <v>69</v>
      </c>
      <c r="G588">
        <v>114600421.23</v>
      </c>
      <c r="H588" t="s">
        <v>1388</v>
      </c>
    </row>
    <row r="589" spans="1:8" x14ac:dyDescent="0.25">
      <c r="A589" t="s">
        <v>1250</v>
      </c>
      <c r="B589" t="s">
        <v>485</v>
      </c>
      <c r="C589" t="s">
        <v>486</v>
      </c>
      <c r="D589" t="s">
        <v>19</v>
      </c>
      <c r="E589">
        <v>1571543.78</v>
      </c>
      <c r="F589">
        <v>55</v>
      </c>
      <c r="G589">
        <v>86434907.900000006</v>
      </c>
      <c r="H589" t="s">
        <v>1388</v>
      </c>
    </row>
    <row r="590" spans="1:8" x14ac:dyDescent="0.25">
      <c r="A590" t="s">
        <v>1251</v>
      </c>
      <c r="B590" t="s">
        <v>217</v>
      </c>
      <c r="C590" t="s">
        <v>218</v>
      </c>
      <c r="D590" t="s">
        <v>26</v>
      </c>
      <c r="E590">
        <v>1290808.98</v>
      </c>
      <c r="F590">
        <v>78</v>
      </c>
      <c r="G590">
        <v>100683100.44</v>
      </c>
      <c r="H590" t="s">
        <v>1388</v>
      </c>
    </row>
    <row r="591" spans="1:8" x14ac:dyDescent="0.25">
      <c r="A591" t="s">
        <v>1251</v>
      </c>
      <c r="B591" t="s">
        <v>603</v>
      </c>
      <c r="C591" t="s">
        <v>604</v>
      </c>
      <c r="D591" t="s">
        <v>10</v>
      </c>
      <c r="E591">
        <v>557502.9</v>
      </c>
      <c r="F591">
        <v>20</v>
      </c>
      <c r="G591">
        <v>11150058</v>
      </c>
      <c r="H591" t="s">
        <v>1388</v>
      </c>
    </row>
    <row r="592" spans="1:8" x14ac:dyDescent="0.25">
      <c r="A592" t="s">
        <v>1252</v>
      </c>
      <c r="B592" t="s">
        <v>167</v>
      </c>
      <c r="C592" t="s">
        <v>168</v>
      </c>
      <c r="D592" t="s">
        <v>19</v>
      </c>
      <c r="E592">
        <v>206491.87</v>
      </c>
      <c r="F592">
        <v>65</v>
      </c>
      <c r="G592">
        <v>13421971.550000001</v>
      </c>
      <c r="H592" t="s">
        <v>1388</v>
      </c>
    </row>
    <row r="593" spans="1:8" x14ac:dyDescent="0.25">
      <c r="A593" t="s">
        <v>1252</v>
      </c>
      <c r="B593" t="s">
        <v>225</v>
      </c>
      <c r="C593" t="s">
        <v>226</v>
      </c>
      <c r="D593" t="s">
        <v>26</v>
      </c>
      <c r="E593">
        <v>1698647.86</v>
      </c>
      <c r="F593">
        <v>50</v>
      </c>
      <c r="G593">
        <v>84932393</v>
      </c>
      <c r="H593" t="s">
        <v>1388</v>
      </c>
    </row>
    <row r="594" spans="1:8" x14ac:dyDescent="0.25">
      <c r="A594" t="s">
        <v>1253</v>
      </c>
      <c r="B594" t="s">
        <v>657</v>
      </c>
      <c r="C594" t="s">
        <v>658</v>
      </c>
      <c r="D594" t="s">
        <v>19</v>
      </c>
      <c r="E594">
        <v>842139.97</v>
      </c>
      <c r="F594">
        <v>67</v>
      </c>
      <c r="G594">
        <v>56423377.990000002</v>
      </c>
      <c r="H594" t="s">
        <v>1388</v>
      </c>
    </row>
    <row r="595" spans="1:8" x14ac:dyDescent="0.25">
      <c r="A595" t="s">
        <v>1253</v>
      </c>
      <c r="B595" t="s">
        <v>455</v>
      </c>
      <c r="C595" t="s">
        <v>456</v>
      </c>
      <c r="D595" t="s">
        <v>14</v>
      </c>
      <c r="E595">
        <v>1087671.1399999999</v>
      </c>
      <c r="F595">
        <v>79</v>
      </c>
      <c r="G595">
        <v>85926020.060000002</v>
      </c>
      <c r="H595" t="s">
        <v>1388</v>
      </c>
    </row>
    <row r="596" spans="1:8" x14ac:dyDescent="0.25">
      <c r="A596" t="s">
        <v>1254</v>
      </c>
      <c r="B596" t="s">
        <v>221</v>
      </c>
      <c r="C596" t="s">
        <v>222</v>
      </c>
      <c r="D596" t="s">
        <v>26</v>
      </c>
      <c r="E596">
        <v>2044876.68</v>
      </c>
      <c r="F596">
        <v>11</v>
      </c>
      <c r="G596">
        <v>22493643.48</v>
      </c>
      <c r="H596" t="s">
        <v>1388</v>
      </c>
    </row>
    <row r="597" spans="1:8" x14ac:dyDescent="0.25">
      <c r="A597" t="s">
        <v>1255</v>
      </c>
      <c r="B597" t="s">
        <v>955</v>
      </c>
      <c r="C597" t="s">
        <v>956</v>
      </c>
      <c r="D597" t="s">
        <v>26</v>
      </c>
      <c r="E597">
        <v>2848757.39</v>
      </c>
      <c r="F597">
        <v>22</v>
      </c>
      <c r="G597">
        <v>62672662.579999998</v>
      </c>
      <c r="H597" t="s">
        <v>1388</v>
      </c>
    </row>
    <row r="598" spans="1:8" x14ac:dyDescent="0.25">
      <c r="A598" t="s">
        <v>1255</v>
      </c>
      <c r="B598" t="s">
        <v>8</v>
      </c>
      <c r="C598" t="s">
        <v>9</v>
      </c>
      <c r="D598" t="s">
        <v>10</v>
      </c>
      <c r="E598">
        <v>997624.37</v>
      </c>
      <c r="F598">
        <v>42</v>
      </c>
      <c r="G598">
        <v>41900223.539999999</v>
      </c>
      <c r="H598" t="s">
        <v>1388</v>
      </c>
    </row>
    <row r="599" spans="1:8" x14ac:dyDescent="0.25">
      <c r="A599" t="s">
        <v>1428</v>
      </c>
      <c r="B599" t="s">
        <v>979</v>
      </c>
      <c r="C599" t="s">
        <v>980</v>
      </c>
      <c r="D599" t="s">
        <v>14</v>
      </c>
      <c r="E599">
        <v>808167.58</v>
      </c>
      <c r="F599">
        <v>26</v>
      </c>
      <c r="G599">
        <v>21012357.079999998</v>
      </c>
      <c r="H599" t="s">
        <v>1388</v>
      </c>
    </row>
    <row r="600" spans="1:8" x14ac:dyDescent="0.25">
      <c r="A600" t="s">
        <v>1428</v>
      </c>
      <c r="B600" t="s">
        <v>639</v>
      </c>
      <c r="C600" t="s">
        <v>640</v>
      </c>
      <c r="D600" t="s">
        <v>14</v>
      </c>
      <c r="E600">
        <v>240758.61</v>
      </c>
      <c r="F600">
        <v>32</v>
      </c>
      <c r="G600">
        <v>7704275.5199999996</v>
      </c>
      <c r="H600" t="s">
        <v>1388</v>
      </c>
    </row>
    <row r="601" spans="1:8" x14ac:dyDescent="0.25">
      <c r="A601" t="s">
        <v>1256</v>
      </c>
      <c r="B601" t="s">
        <v>573</v>
      </c>
      <c r="C601" t="s">
        <v>574</v>
      </c>
      <c r="D601" t="s">
        <v>19</v>
      </c>
      <c r="E601">
        <v>1366443.59</v>
      </c>
      <c r="F601">
        <v>44</v>
      </c>
      <c r="G601">
        <v>60123517.960000001</v>
      </c>
      <c r="H601" t="s">
        <v>1388</v>
      </c>
    </row>
    <row r="602" spans="1:8" x14ac:dyDescent="0.25">
      <c r="A602" t="s">
        <v>1257</v>
      </c>
      <c r="B602" t="s">
        <v>737</v>
      </c>
      <c r="C602" t="s">
        <v>738</v>
      </c>
      <c r="D602" t="s">
        <v>14</v>
      </c>
      <c r="E602">
        <v>1253857.8700000001</v>
      </c>
      <c r="F602">
        <v>2</v>
      </c>
      <c r="G602">
        <v>2507715.7400000002</v>
      </c>
      <c r="H602" t="s">
        <v>1388</v>
      </c>
    </row>
    <row r="603" spans="1:8" x14ac:dyDescent="0.25">
      <c r="A603" t="s">
        <v>1429</v>
      </c>
      <c r="B603" t="s">
        <v>219</v>
      </c>
      <c r="C603" t="s">
        <v>220</v>
      </c>
      <c r="D603" t="s">
        <v>19</v>
      </c>
      <c r="E603">
        <v>1841611.4</v>
      </c>
      <c r="F603">
        <v>33</v>
      </c>
      <c r="G603">
        <v>60773176.200000003</v>
      </c>
      <c r="H603" t="s">
        <v>1388</v>
      </c>
    </row>
    <row r="604" spans="1:8" x14ac:dyDescent="0.25">
      <c r="A604" t="s">
        <v>1429</v>
      </c>
      <c r="B604" t="s">
        <v>717</v>
      </c>
      <c r="C604" t="s">
        <v>718</v>
      </c>
      <c r="D604" t="s">
        <v>26</v>
      </c>
      <c r="E604">
        <v>3398551.04</v>
      </c>
      <c r="F604">
        <v>38</v>
      </c>
      <c r="G604">
        <v>129144939.52</v>
      </c>
      <c r="H604" t="s">
        <v>1388</v>
      </c>
    </row>
    <row r="605" spans="1:8" x14ac:dyDescent="0.25">
      <c r="A605" t="s">
        <v>1429</v>
      </c>
      <c r="B605" t="s">
        <v>637</v>
      </c>
      <c r="C605" t="s">
        <v>638</v>
      </c>
      <c r="D605" t="s">
        <v>26</v>
      </c>
      <c r="E605">
        <v>3250996.58</v>
      </c>
      <c r="F605">
        <v>75</v>
      </c>
      <c r="G605">
        <v>243824743.5</v>
      </c>
      <c r="H605" t="s">
        <v>1388</v>
      </c>
    </row>
    <row r="606" spans="1:8" x14ac:dyDescent="0.25">
      <c r="A606" t="s">
        <v>1258</v>
      </c>
      <c r="B606" t="s">
        <v>79</v>
      </c>
      <c r="C606" t="s">
        <v>80</v>
      </c>
      <c r="D606" t="s">
        <v>14</v>
      </c>
      <c r="E606">
        <v>260522.01</v>
      </c>
      <c r="F606">
        <v>20</v>
      </c>
      <c r="G606">
        <v>5210440.2</v>
      </c>
      <c r="H606" t="s">
        <v>1388</v>
      </c>
    </row>
    <row r="607" spans="1:8" x14ac:dyDescent="0.25">
      <c r="A607" t="s">
        <v>1430</v>
      </c>
      <c r="B607" t="s">
        <v>185</v>
      </c>
      <c r="C607" t="s">
        <v>186</v>
      </c>
      <c r="D607" t="s">
        <v>26</v>
      </c>
      <c r="E607">
        <v>1793155.43</v>
      </c>
      <c r="F607">
        <v>16</v>
      </c>
      <c r="G607">
        <v>28690486.879999999</v>
      </c>
      <c r="H607" t="s">
        <v>1388</v>
      </c>
    </row>
    <row r="608" spans="1:8" x14ac:dyDescent="0.25">
      <c r="A608" t="s">
        <v>1259</v>
      </c>
      <c r="B608" t="s">
        <v>601</v>
      </c>
      <c r="C608" t="s">
        <v>602</v>
      </c>
      <c r="D608" t="s">
        <v>14</v>
      </c>
      <c r="E608">
        <v>737467.51</v>
      </c>
      <c r="F608">
        <v>48</v>
      </c>
      <c r="G608">
        <v>35398440.479999997</v>
      </c>
      <c r="H608" t="s">
        <v>1388</v>
      </c>
    </row>
    <row r="609" spans="1:8" x14ac:dyDescent="0.25">
      <c r="A609" t="s">
        <v>1259</v>
      </c>
      <c r="B609" t="s">
        <v>719</v>
      </c>
      <c r="C609" t="s">
        <v>720</v>
      </c>
      <c r="D609" t="s">
        <v>19</v>
      </c>
      <c r="E609">
        <v>431740.76</v>
      </c>
      <c r="F609">
        <v>25</v>
      </c>
      <c r="G609">
        <v>10793519</v>
      </c>
      <c r="H609" t="s">
        <v>1388</v>
      </c>
    </row>
    <row r="610" spans="1:8" x14ac:dyDescent="0.25">
      <c r="A610" t="s">
        <v>1260</v>
      </c>
      <c r="B610" t="s">
        <v>643</v>
      </c>
      <c r="C610" t="s">
        <v>644</v>
      </c>
      <c r="D610" t="s">
        <v>19</v>
      </c>
      <c r="E610">
        <v>1266586.6499999999</v>
      </c>
      <c r="F610">
        <v>4</v>
      </c>
      <c r="G610">
        <v>5066346.5999999996</v>
      </c>
      <c r="H610" t="s">
        <v>1388</v>
      </c>
    </row>
    <row r="611" spans="1:8" x14ac:dyDescent="0.25">
      <c r="A611" t="s">
        <v>1260</v>
      </c>
      <c r="B611" t="s">
        <v>107</v>
      </c>
      <c r="C611" t="s">
        <v>108</v>
      </c>
      <c r="D611" t="s">
        <v>26</v>
      </c>
      <c r="E611">
        <v>2677676.02</v>
      </c>
      <c r="F611">
        <v>26</v>
      </c>
      <c r="G611">
        <v>69619576.519999996</v>
      </c>
      <c r="H611" t="s">
        <v>1388</v>
      </c>
    </row>
    <row r="612" spans="1:8" x14ac:dyDescent="0.25">
      <c r="A612" t="s">
        <v>1261</v>
      </c>
      <c r="B612" t="s">
        <v>595</v>
      </c>
      <c r="C612" t="s">
        <v>596</v>
      </c>
      <c r="D612" t="s">
        <v>26</v>
      </c>
      <c r="E612">
        <v>3759547.33</v>
      </c>
      <c r="F612">
        <v>6</v>
      </c>
      <c r="G612">
        <v>22557283.98</v>
      </c>
      <c r="H612" t="s">
        <v>1388</v>
      </c>
    </row>
    <row r="613" spans="1:8" x14ac:dyDescent="0.25">
      <c r="A613" t="s">
        <v>1261</v>
      </c>
      <c r="B613" t="s">
        <v>425</v>
      </c>
      <c r="C613" t="s">
        <v>426</v>
      </c>
      <c r="D613" t="s">
        <v>14</v>
      </c>
      <c r="E613">
        <v>733859.97</v>
      </c>
      <c r="F613">
        <v>58</v>
      </c>
      <c r="G613">
        <v>42563878.259999998</v>
      </c>
      <c r="H613" t="s">
        <v>1388</v>
      </c>
    </row>
    <row r="614" spans="1:8" x14ac:dyDescent="0.25">
      <c r="A614" t="s">
        <v>1262</v>
      </c>
      <c r="B614" t="s">
        <v>173</v>
      </c>
      <c r="C614" t="s">
        <v>174</v>
      </c>
      <c r="D614" t="s">
        <v>19</v>
      </c>
      <c r="E614">
        <v>1372954.62</v>
      </c>
      <c r="F614">
        <v>38</v>
      </c>
      <c r="G614">
        <v>52172275.560000002</v>
      </c>
      <c r="H614" t="s">
        <v>1388</v>
      </c>
    </row>
    <row r="615" spans="1:8" x14ac:dyDescent="0.25">
      <c r="A615" t="s">
        <v>1262</v>
      </c>
      <c r="B615" t="s">
        <v>931</v>
      </c>
      <c r="C615" t="s">
        <v>932</v>
      </c>
      <c r="D615" t="s">
        <v>10</v>
      </c>
      <c r="E615">
        <v>738944.65</v>
      </c>
      <c r="F615">
        <v>80</v>
      </c>
      <c r="G615">
        <v>59115572</v>
      </c>
      <c r="H615" t="s">
        <v>1388</v>
      </c>
    </row>
    <row r="616" spans="1:8" x14ac:dyDescent="0.25">
      <c r="A616" t="s">
        <v>1263</v>
      </c>
      <c r="B616" t="s">
        <v>947</v>
      </c>
      <c r="C616" t="s">
        <v>948</v>
      </c>
      <c r="D616" t="s">
        <v>26</v>
      </c>
      <c r="E616">
        <v>1410074.65</v>
      </c>
      <c r="F616">
        <v>64</v>
      </c>
      <c r="G616">
        <v>90244777.599999994</v>
      </c>
      <c r="H616" t="s">
        <v>1388</v>
      </c>
    </row>
    <row r="617" spans="1:8" x14ac:dyDescent="0.25">
      <c r="A617" t="s">
        <v>1431</v>
      </c>
      <c r="B617" t="s">
        <v>309</v>
      </c>
      <c r="C617" t="s">
        <v>310</v>
      </c>
      <c r="D617" t="s">
        <v>26</v>
      </c>
      <c r="E617">
        <v>1921305.09</v>
      </c>
      <c r="F617">
        <v>58</v>
      </c>
      <c r="G617">
        <v>111435695.22</v>
      </c>
      <c r="H617" t="s">
        <v>1388</v>
      </c>
    </row>
    <row r="618" spans="1:8" x14ac:dyDescent="0.25">
      <c r="A618" t="s">
        <v>1264</v>
      </c>
      <c r="B618" t="s">
        <v>845</v>
      </c>
      <c r="C618" t="s">
        <v>846</v>
      </c>
      <c r="D618" t="s">
        <v>14</v>
      </c>
      <c r="E618">
        <v>889235.26</v>
      </c>
      <c r="F618">
        <v>45</v>
      </c>
      <c r="G618">
        <v>40015586.700000003</v>
      </c>
      <c r="H618" t="s">
        <v>1388</v>
      </c>
    </row>
    <row r="619" spans="1:8" x14ac:dyDescent="0.25">
      <c r="A619" t="s">
        <v>1265</v>
      </c>
      <c r="B619" t="s">
        <v>935</v>
      </c>
      <c r="C619" t="s">
        <v>936</v>
      </c>
      <c r="D619" t="s">
        <v>14</v>
      </c>
      <c r="E619">
        <v>73878.009999999995</v>
      </c>
      <c r="F619">
        <v>45</v>
      </c>
      <c r="G619">
        <v>3324510.45</v>
      </c>
      <c r="H619" t="s">
        <v>1388</v>
      </c>
    </row>
    <row r="620" spans="1:8" x14ac:dyDescent="0.25">
      <c r="A620" t="s">
        <v>1266</v>
      </c>
      <c r="B620" t="s">
        <v>797</v>
      </c>
      <c r="C620" t="s">
        <v>798</v>
      </c>
      <c r="D620" t="s">
        <v>19</v>
      </c>
      <c r="E620">
        <v>1803172.69</v>
      </c>
      <c r="F620">
        <v>69</v>
      </c>
      <c r="G620">
        <v>124418915.61</v>
      </c>
      <c r="H620" t="s">
        <v>1388</v>
      </c>
    </row>
    <row r="621" spans="1:8" x14ac:dyDescent="0.25">
      <c r="A621" t="s">
        <v>1266</v>
      </c>
      <c r="B621" t="s">
        <v>73</v>
      </c>
      <c r="C621" t="s">
        <v>74</v>
      </c>
      <c r="D621" t="s">
        <v>10</v>
      </c>
      <c r="E621">
        <v>944306.63</v>
      </c>
      <c r="F621">
        <v>74</v>
      </c>
      <c r="G621">
        <v>69878690.620000005</v>
      </c>
      <c r="H621" t="s">
        <v>1388</v>
      </c>
    </row>
    <row r="622" spans="1:8" x14ac:dyDescent="0.25">
      <c r="A622" t="s">
        <v>1268</v>
      </c>
      <c r="B622" t="s">
        <v>15</v>
      </c>
      <c r="C622" t="s">
        <v>16</v>
      </c>
      <c r="D622" t="s">
        <v>10</v>
      </c>
      <c r="E622">
        <v>1714805.44</v>
      </c>
      <c r="F622">
        <v>32</v>
      </c>
      <c r="G622">
        <v>54873774.079999998</v>
      </c>
      <c r="H622" t="s">
        <v>1388</v>
      </c>
    </row>
    <row r="623" spans="1:8" x14ac:dyDescent="0.25">
      <c r="A623" t="s">
        <v>1269</v>
      </c>
      <c r="B623" t="s">
        <v>665</v>
      </c>
      <c r="C623" t="s">
        <v>666</v>
      </c>
      <c r="D623" t="s">
        <v>10</v>
      </c>
      <c r="E623">
        <v>515990.99</v>
      </c>
      <c r="F623">
        <v>26</v>
      </c>
      <c r="G623">
        <v>13415765.74</v>
      </c>
      <c r="H623" t="s">
        <v>1388</v>
      </c>
    </row>
    <row r="624" spans="1:8" x14ac:dyDescent="0.25">
      <c r="A624" t="s">
        <v>1270</v>
      </c>
      <c r="B624" t="s">
        <v>851</v>
      </c>
      <c r="C624" t="s">
        <v>852</v>
      </c>
      <c r="D624" t="s">
        <v>10</v>
      </c>
      <c r="E624">
        <v>731602.24</v>
      </c>
      <c r="F624">
        <v>46</v>
      </c>
      <c r="G624">
        <v>33653703.039999999</v>
      </c>
      <c r="H624" t="s">
        <v>1388</v>
      </c>
    </row>
    <row r="625" spans="1:8" x14ac:dyDescent="0.25">
      <c r="A625" t="s">
        <v>1270</v>
      </c>
      <c r="B625" t="s">
        <v>621</v>
      </c>
      <c r="C625" t="s">
        <v>622</v>
      </c>
      <c r="D625" t="s">
        <v>26</v>
      </c>
      <c r="E625">
        <v>2245994.64</v>
      </c>
      <c r="F625">
        <v>25</v>
      </c>
      <c r="G625">
        <v>56149866</v>
      </c>
      <c r="H625" t="s">
        <v>1388</v>
      </c>
    </row>
    <row r="626" spans="1:8" x14ac:dyDescent="0.25">
      <c r="A626" t="s">
        <v>1270</v>
      </c>
      <c r="B626" t="s">
        <v>281</v>
      </c>
      <c r="C626" t="s">
        <v>282</v>
      </c>
      <c r="D626" t="s">
        <v>19</v>
      </c>
      <c r="E626">
        <v>1755876.07</v>
      </c>
      <c r="F626">
        <v>5</v>
      </c>
      <c r="G626">
        <v>8779380.3499999996</v>
      </c>
      <c r="H626" t="s">
        <v>1388</v>
      </c>
    </row>
    <row r="627" spans="1:8" x14ac:dyDescent="0.25">
      <c r="A627" t="s">
        <v>1271</v>
      </c>
      <c r="B627" t="s">
        <v>907</v>
      </c>
      <c r="C627" t="s">
        <v>908</v>
      </c>
      <c r="D627" t="s">
        <v>19</v>
      </c>
      <c r="E627">
        <v>535421.65</v>
      </c>
      <c r="F627">
        <v>36</v>
      </c>
      <c r="G627">
        <v>19275179.399999999</v>
      </c>
      <c r="H627" t="s">
        <v>1388</v>
      </c>
    </row>
    <row r="628" spans="1:8" x14ac:dyDescent="0.25">
      <c r="A628" t="s">
        <v>1271</v>
      </c>
      <c r="B628" t="s">
        <v>29</v>
      </c>
      <c r="C628" t="s">
        <v>30</v>
      </c>
      <c r="D628" t="s">
        <v>26</v>
      </c>
      <c r="E628">
        <v>487408.77</v>
      </c>
      <c r="F628">
        <v>58</v>
      </c>
      <c r="G628">
        <v>28269708.66</v>
      </c>
      <c r="H628" t="s">
        <v>1388</v>
      </c>
    </row>
    <row r="629" spans="1:8" x14ac:dyDescent="0.25">
      <c r="A629" t="s">
        <v>1272</v>
      </c>
      <c r="B629" t="s">
        <v>483</v>
      </c>
      <c r="C629" t="s">
        <v>484</v>
      </c>
      <c r="D629" t="s">
        <v>14</v>
      </c>
      <c r="E629">
        <v>1183321.1000000001</v>
      </c>
      <c r="F629">
        <v>73</v>
      </c>
      <c r="G629">
        <v>86382440.299999997</v>
      </c>
      <c r="H629" t="s">
        <v>1388</v>
      </c>
    </row>
    <row r="630" spans="1:8" x14ac:dyDescent="0.25">
      <c r="A630" t="s">
        <v>1273</v>
      </c>
      <c r="B630" t="s">
        <v>801</v>
      </c>
      <c r="C630" t="s">
        <v>802</v>
      </c>
      <c r="D630" t="s">
        <v>14</v>
      </c>
      <c r="E630">
        <v>582480.29</v>
      </c>
      <c r="F630">
        <v>46</v>
      </c>
      <c r="G630">
        <v>26794093.34</v>
      </c>
      <c r="H630" t="s">
        <v>1388</v>
      </c>
    </row>
    <row r="631" spans="1:8" x14ac:dyDescent="0.25">
      <c r="A631" t="s">
        <v>1432</v>
      </c>
      <c r="B631" t="s">
        <v>681</v>
      </c>
      <c r="C631" t="s">
        <v>682</v>
      </c>
      <c r="D631" t="s">
        <v>26</v>
      </c>
      <c r="E631">
        <v>2550645.7599999998</v>
      </c>
      <c r="F631">
        <v>64</v>
      </c>
      <c r="G631">
        <v>163241328.63999999</v>
      </c>
      <c r="H631" t="s">
        <v>1388</v>
      </c>
    </row>
    <row r="632" spans="1:8" x14ac:dyDescent="0.25">
      <c r="A632" t="s">
        <v>1432</v>
      </c>
      <c r="B632" t="s">
        <v>979</v>
      </c>
      <c r="C632" t="s">
        <v>980</v>
      </c>
      <c r="D632" t="s">
        <v>14</v>
      </c>
      <c r="E632">
        <v>782613.22</v>
      </c>
      <c r="F632">
        <v>36</v>
      </c>
      <c r="G632">
        <v>28174075.920000002</v>
      </c>
      <c r="H632" t="s">
        <v>1388</v>
      </c>
    </row>
    <row r="633" spans="1:8" x14ac:dyDescent="0.25">
      <c r="A633" t="s">
        <v>1275</v>
      </c>
      <c r="B633" t="s">
        <v>971</v>
      </c>
      <c r="C633" t="s">
        <v>972</v>
      </c>
      <c r="D633" t="s">
        <v>14</v>
      </c>
      <c r="E633">
        <v>803325.36</v>
      </c>
      <c r="F633">
        <v>34</v>
      </c>
      <c r="G633">
        <v>27313062.239999998</v>
      </c>
      <c r="H633" t="s">
        <v>1388</v>
      </c>
    </row>
    <row r="634" spans="1:8" x14ac:dyDescent="0.25">
      <c r="A634" t="s">
        <v>1276</v>
      </c>
      <c r="B634" t="s">
        <v>187</v>
      </c>
      <c r="C634" t="s">
        <v>188</v>
      </c>
      <c r="D634" t="s">
        <v>19</v>
      </c>
      <c r="E634">
        <v>601815.66</v>
      </c>
      <c r="F634">
        <v>18</v>
      </c>
      <c r="G634">
        <v>10832681.880000001</v>
      </c>
      <c r="H634" t="s">
        <v>1388</v>
      </c>
    </row>
    <row r="635" spans="1:8" x14ac:dyDescent="0.25">
      <c r="A635" t="s">
        <v>1276</v>
      </c>
      <c r="B635" t="s">
        <v>209</v>
      </c>
      <c r="C635" t="s">
        <v>210</v>
      </c>
      <c r="D635" t="s">
        <v>10</v>
      </c>
      <c r="E635">
        <v>917374.35</v>
      </c>
      <c r="F635">
        <v>24</v>
      </c>
      <c r="G635">
        <v>22016984.399999999</v>
      </c>
      <c r="H635" t="s">
        <v>1388</v>
      </c>
    </row>
    <row r="636" spans="1:8" x14ac:dyDescent="0.25">
      <c r="A636" t="s">
        <v>1276</v>
      </c>
      <c r="B636" t="s">
        <v>837</v>
      </c>
      <c r="C636" t="s">
        <v>838</v>
      </c>
      <c r="D636" t="s">
        <v>26</v>
      </c>
      <c r="E636">
        <v>3692130.26</v>
      </c>
      <c r="F636">
        <v>73</v>
      </c>
      <c r="G636">
        <v>269525508.98000002</v>
      </c>
      <c r="H636" t="s">
        <v>1388</v>
      </c>
    </row>
    <row r="637" spans="1:8" x14ac:dyDescent="0.25">
      <c r="A637" t="s">
        <v>1277</v>
      </c>
      <c r="B637" t="s">
        <v>339</v>
      </c>
      <c r="C637" t="s">
        <v>340</v>
      </c>
      <c r="D637" t="s">
        <v>14</v>
      </c>
      <c r="E637">
        <v>846133.15</v>
      </c>
      <c r="F637">
        <v>80</v>
      </c>
      <c r="G637">
        <v>67690652</v>
      </c>
      <c r="H637" t="s">
        <v>1388</v>
      </c>
    </row>
    <row r="638" spans="1:8" x14ac:dyDescent="0.25">
      <c r="A638" t="s">
        <v>1278</v>
      </c>
      <c r="B638" t="s">
        <v>801</v>
      </c>
      <c r="C638" t="s">
        <v>802</v>
      </c>
      <c r="D638" t="s">
        <v>14</v>
      </c>
      <c r="E638">
        <v>630624.26</v>
      </c>
      <c r="F638">
        <v>18</v>
      </c>
      <c r="G638">
        <v>11351236.68</v>
      </c>
      <c r="H638" t="s">
        <v>1388</v>
      </c>
    </row>
    <row r="639" spans="1:8" x14ac:dyDescent="0.25">
      <c r="A639" t="s">
        <v>1279</v>
      </c>
      <c r="B639" t="s">
        <v>357</v>
      </c>
      <c r="C639" t="s">
        <v>358</v>
      </c>
      <c r="D639" t="s">
        <v>19</v>
      </c>
      <c r="E639">
        <v>452452.06</v>
      </c>
      <c r="F639">
        <v>30</v>
      </c>
      <c r="G639">
        <v>13573561.800000001</v>
      </c>
      <c r="H639" t="s">
        <v>1388</v>
      </c>
    </row>
    <row r="640" spans="1:8" x14ac:dyDescent="0.25">
      <c r="A640" t="s">
        <v>1433</v>
      </c>
      <c r="B640" t="s">
        <v>403</v>
      </c>
      <c r="C640" t="s">
        <v>404</v>
      </c>
      <c r="D640" t="s">
        <v>19</v>
      </c>
      <c r="E640">
        <v>1130079.03</v>
      </c>
      <c r="F640">
        <v>70</v>
      </c>
      <c r="G640">
        <v>79105532.099999994</v>
      </c>
      <c r="H640" t="s">
        <v>1388</v>
      </c>
    </row>
    <row r="641" spans="1:8" x14ac:dyDescent="0.25">
      <c r="A641" t="s">
        <v>1433</v>
      </c>
      <c r="B641" t="s">
        <v>669</v>
      </c>
      <c r="C641" t="s">
        <v>670</v>
      </c>
      <c r="D641" t="s">
        <v>10</v>
      </c>
      <c r="E641">
        <v>91206.65</v>
      </c>
      <c r="F641">
        <v>1</v>
      </c>
      <c r="G641">
        <v>91206.65</v>
      </c>
      <c r="H641" t="s">
        <v>1388</v>
      </c>
    </row>
    <row r="642" spans="1:8" x14ac:dyDescent="0.25">
      <c r="A642" t="s">
        <v>1280</v>
      </c>
      <c r="B642" t="s">
        <v>437</v>
      </c>
      <c r="C642" t="s">
        <v>438</v>
      </c>
      <c r="D642" t="s">
        <v>14</v>
      </c>
      <c r="E642">
        <v>510670.27</v>
      </c>
      <c r="F642">
        <v>70</v>
      </c>
      <c r="G642">
        <v>35746918.899999999</v>
      </c>
      <c r="H642" t="s">
        <v>1388</v>
      </c>
    </row>
    <row r="643" spans="1:8" x14ac:dyDescent="0.25">
      <c r="A643" t="s">
        <v>1280</v>
      </c>
      <c r="B643" t="s">
        <v>623</v>
      </c>
      <c r="C643" t="s">
        <v>624</v>
      </c>
      <c r="D643" t="s">
        <v>26</v>
      </c>
      <c r="E643">
        <v>3425891.36</v>
      </c>
      <c r="F643">
        <v>10</v>
      </c>
      <c r="G643">
        <v>34258913.600000001</v>
      </c>
      <c r="H643" t="s">
        <v>1388</v>
      </c>
    </row>
    <row r="644" spans="1:8" x14ac:dyDescent="0.25">
      <c r="A644" t="s">
        <v>1280</v>
      </c>
      <c r="B644" t="s">
        <v>879</v>
      </c>
      <c r="C644" t="s">
        <v>880</v>
      </c>
      <c r="D644" t="s">
        <v>10</v>
      </c>
      <c r="E644">
        <v>1571306.36</v>
      </c>
      <c r="F644">
        <v>9</v>
      </c>
      <c r="G644">
        <v>14141757.24</v>
      </c>
      <c r="H644" t="s">
        <v>1388</v>
      </c>
    </row>
    <row r="645" spans="1:8" x14ac:dyDescent="0.25">
      <c r="A645" t="s">
        <v>1282</v>
      </c>
      <c r="B645" t="s">
        <v>859</v>
      </c>
      <c r="C645" t="s">
        <v>860</v>
      </c>
      <c r="D645" t="s">
        <v>19</v>
      </c>
      <c r="E645">
        <v>963755.38</v>
      </c>
      <c r="F645">
        <v>20</v>
      </c>
      <c r="G645">
        <v>19275107.600000001</v>
      </c>
      <c r="H645" t="s">
        <v>1388</v>
      </c>
    </row>
    <row r="646" spans="1:8" x14ac:dyDescent="0.25">
      <c r="A646" t="s">
        <v>1283</v>
      </c>
      <c r="B646" t="s">
        <v>203</v>
      </c>
      <c r="C646" t="s">
        <v>204</v>
      </c>
      <c r="D646" t="s">
        <v>10</v>
      </c>
      <c r="E646">
        <v>1417349.53</v>
      </c>
      <c r="F646">
        <v>26</v>
      </c>
      <c r="G646">
        <v>36851087.780000001</v>
      </c>
      <c r="H646" t="s">
        <v>1388</v>
      </c>
    </row>
    <row r="647" spans="1:8" x14ac:dyDescent="0.25">
      <c r="A647" t="s">
        <v>1434</v>
      </c>
      <c r="B647" t="s">
        <v>831</v>
      </c>
      <c r="C647" t="s">
        <v>832</v>
      </c>
      <c r="D647" t="s">
        <v>14</v>
      </c>
      <c r="E647">
        <v>527104.30000000005</v>
      </c>
      <c r="F647">
        <v>22</v>
      </c>
      <c r="G647">
        <v>11596294.6</v>
      </c>
      <c r="H647" t="s">
        <v>1388</v>
      </c>
    </row>
    <row r="648" spans="1:8" x14ac:dyDescent="0.25">
      <c r="A648" t="s">
        <v>1435</v>
      </c>
      <c r="B648" t="s">
        <v>995</v>
      </c>
      <c r="C648" t="s">
        <v>996</v>
      </c>
      <c r="D648" t="s">
        <v>19</v>
      </c>
      <c r="E648">
        <v>685945.56</v>
      </c>
      <c r="F648">
        <v>79</v>
      </c>
      <c r="G648">
        <v>54189699.240000002</v>
      </c>
      <c r="H648" t="s">
        <v>1388</v>
      </c>
    </row>
    <row r="649" spans="1:8" x14ac:dyDescent="0.25">
      <c r="A649" t="s">
        <v>1284</v>
      </c>
      <c r="B649" t="s">
        <v>69</v>
      </c>
      <c r="C649" t="s">
        <v>70</v>
      </c>
      <c r="D649" t="s">
        <v>26</v>
      </c>
      <c r="E649">
        <v>2641359.59</v>
      </c>
      <c r="F649">
        <v>19</v>
      </c>
      <c r="G649">
        <v>50185832.210000001</v>
      </c>
      <c r="H649" t="s">
        <v>1388</v>
      </c>
    </row>
    <row r="650" spans="1:8" x14ac:dyDescent="0.25">
      <c r="A650" t="s">
        <v>1285</v>
      </c>
      <c r="B650" t="s">
        <v>533</v>
      </c>
      <c r="C650" t="s">
        <v>534</v>
      </c>
      <c r="D650" t="s">
        <v>26</v>
      </c>
      <c r="E650">
        <v>1682934.9</v>
      </c>
      <c r="F650">
        <v>66</v>
      </c>
      <c r="G650">
        <v>111073703.40000001</v>
      </c>
      <c r="H650" t="s">
        <v>1388</v>
      </c>
    </row>
    <row r="651" spans="1:8" x14ac:dyDescent="0.25">
      <c r="A651" t="s">
        <v>1287</v>
      </c>
      <c r="B651" t="s">
        <v>853</v>
      </c>
      <c r="C651" t="s">
        <v>854</v>
      </c>
      <c r="D651" t="s">
        <v>14</v>
      </c>
      <c r="E651">
        <v>345923.94</v>
      </c>
      <c r="F651">
        <v>35</v>
      </c>
      <c r="G651">
        <v>12107337.9</v>
      </c>
      <c r="H651" t="s">
        <v>1388</v>
      </c>
    </row>
    <row r="652" spans="1:8" x14ac:dyDescent="0.25">
      <c r="A652" t="s">
        <v>1288</v>
      </c>
      <c r="B652" t="s">
        <v>17</v>
      </c>
      <c r="C652" t="s">
        <v>18</v>
      </c>
      <c r="D652" t="s">
        <v>19</v>
      </c>
      <c r="E652">
        <v>1411864.28</v>
      </c>
      <c r="F652">
        <v>26</v>
      </c>
      <c r="G652">
        <v>36708471.280000001</v>
      </c>
      <c r="H652" t="s">
        <v>1388</v>
      </c>
    </row>
    <row r="653" spans="1:8" x14ac:dyDescent="0.25">
      <c r="A653" t="s">
        <v>1289</v>
      </c>
      <c r="B653" t="s">
        <v>651</v>
      </c>
      <c r="C653" t="s">
        <v>652</v>
      </c>
      <c r="D653" t="s">
        <v>14</v>
      </c>
      <c r="E653">
        <v>504086.12</v>
      </c>
      <c r="F653">
        <v>57</v>
      </c>
      <c r="G653">
        <v>28732908.84</v>
      </c>
      <c r="H653" t="s">
        <v>1388</v>
      </c>
    </row>
    <row r="654" spans="1:8" x14ac:dyDescent="0.25">
      <c r="A654" t="s">
        <v>1289</v>
      </c>
      <c r="B654" t="s">
        <v>275</v>
      </c>
      <c r="C654" t="s">
        <v>276</v>
      </c>
      <c r="D654" t="s">
        <v>10</v>
      </c>
      <c r="E654">
        <v>368575.95</v>
      </c>
      <c r="F654">
        <v>16</v>
      </c>
      <c r="G654">
        <v>5897215.2000000002</v>
      </c>
      <c r="H654" t="s">
        <v>1388</v>
      </c>
    </row>
    <row r="655" spans="1:8" x14ac:dyDescent="0.25">
      <c r="A655" t="s">
        <v>1290</v>
      </c>
      <c r="B655" t="s">
        <v>781</v>
      </c>
      <c r="C655" t="s">
        <v>782</v>
      </c>
      <c r="D655" t="s">
        <v>14</v>
      </c>
      <c r="E655">
        <v>1088717.7</v>
      </c>
      <c r="F655">
        <v>31</v>
      </c>
      <c r="G655">
        <v>33750248.700000003</v>
      </c>
      <c r="H655" t="s">
        <v>1388</v>
      </c>
    </row>
    <row r="656" spans="1:8" x14ac:dyDescent="0.25">
      <c r="A656" t="s">
        <v>1290</v>
      </c>
      <c r="B656" t="s">
        <v>345</v>
      </c>
      <c r="C656" t="s">
        <v>346</v>
      </c>
      <c r="D656" t="s">
        <v>14</v>
      </c>
      <c r="E656">
        <v>995011.9</v>
      </c>
      <c r="F656">
        <v>28</v>
      </c>
      <c r="G656">
        <v>27860333.199999999</v>
      </c>
      <c r="H656" t="s">
        <v>1388</v>
      </c>
    </row>
    <row r="657" spans="1:8" x14ac:dyDescent="0.25">
      <c r="A657" t="s">
        <v>1290</v>
      </c>
      <c r="B657" t="s">
        <v>295</v>
      </c>
      <c r="C657" t="s">
        <v>296</v>
      </c>
      <c r="D657" t="s">
        <v>19</v>
      </c>
      <c r="E657">
        <v>615818.84</v>
      </c>
      <c r="F657">
        <v>22</v>
      </c>
      <c r="G657">
        <v>13548014.48</v>
      </c>
      <c r="H657" t="s">
        <v>1388</v>
      </c>
    </row>
    <row r="658" spans="1:8" x14ac:dyDescent="0.25">
      <c r="A658" t="s">
        <v>1291</v>
      </c>
      <c r="B658" t="s">
        <v>335</v>
      </c>
      <c r="C658" t="s">
        <v>336</v>
      </c>
      <c r="D658" t="s">
        <v>10</v>
      </c>
      <c r="E658">
        <v>879413.38</v>
      </c>
      <c r="F658">
        <v>75</v>
      </c>
      <c r="G658">
        <v>65956003.5</v>
      </c>
      <c r="H658" t="s">
        <v>1388</v>
      </c>
    </row>
    <row r="659" spans="1:8" x14ac:dyDescent="0.25">
      <c r="A659" t="s">
        <v>1291</v>
      </c>
      <c r="B659" t="s">
        <v>85</v>
      </c>
      <c r="C659" t="s">
        <v>86</v>
      </c>
      <c r="D659" t="s">
        <v>26</v>
      </c>
      <c r="E659">
        <v>3499186.49</v>
      </c>
      <c r="F659">
        <v>51</v>
      </c>
      <c r="G659">
        <v>178458510.99000001</v>
      </c>
      <c r="H659" t="s">
        <v>1388</v>
      </c>
    </row>
    <row r="660" spans="1:8" x14ac:dyDescent="0.25">
      <c r="A660" t="s">
        <v>1292</v>
      </c>
      <c r="B660" t="s">
        <v>237</v>
      </c>
      <c r="C660" t="s">
        <v>238</v>
      </c>
      <c r="D660" t="s">
        <v>10</v>
      </c>
      <c r="E660">
        <v>1493199.56</v>
      </c>
      <c r="F660">
        <v>1</v>
      </c>
      <c r="G660">
        <v>1493199.56</v>
      </c>
      <c r="H660" t="s">
        <v>1388</v>
      </c>
    </row>
    <row r="661" spans="1:8" x14ac:dyDescent="0.25">
      <c r="A661" t="s">
        <v>1292</v>
      </c>
      <c r="B661" t="s">
        <v>229</v>
      </c>
      <c r="C661" t="s">
        <v>230</v>
      </c>
      <c r="D661" t="s">
        <v>14</v>
      </c>
      <c r="E661">
        <v>623598.56000000006</v>
      </c>
      <c r="F661">
        <v>59</v>
      </c>
      <c r="G661">
        <v>36792315.039999999</v>
      </c>
      <c r="H661" t="s">
        <v>1388</v>
      </c>
    </row>
    <row r="662" spans="1:8" x14ac:dyDescent="0.25">
      <c r="A662" t="s">
        <v>1292</v>
      </c>
      <c r="B662" t="s">
        <v>641</v>
      </c>
      <c r="C662" t="s">
        <v>642</v>
      </c>
      <c r="D662" t="s">
        <v>19</v>
      </c>
      <c r="E662">
        <v>1940145.15</v>
      </c>
      <c r="F662">
        <v>76</v>
      </c>
      <c r="G662">
        <v>147451031.40000001</v>
      </c>
      <c r="H662" t="s">
        <v>1388</v>
      </c>
    </row>
    <row r="663" spans="1:8" x14ac:dyDescent="0.25">
      <c r="A663" t="s">
        <v>1293</v>
      </c>
      <c r="B663" t="s">
        <v>539</v>
      </c>
      <c r="C663" t="s">
        <v>540</v>
      </c>
      <c r="D663" t="s">
        <v>10</v>
      </c>
      <c r="E663">
        <v>1181550.72</v>
      </c>
      <c r="F663">
        <v>35</v>
      </c>
      <c r="G663">
        <v>41354275.200000003</v>
      </c>
      <c r="H663" t="s">
        <v>1388</v>
      </c>
    </row>
    <row r="664" spans="1:8" x14ac:dyDescent="0.25">
      <c r="A664" t="s">
        <v>1293</v>
      </c>
      <c r="B664" t="s">
        <v>353</v>
      </c>
      <c r="C664" t="s">
        <v>354</v>
      </c>
      <c r="D664" t="s">
        <v>14</v>
      </c>
      <c r="E664">
        <v>808239.46</v>
      </c>
      <c r="F664">
        <v>17</v>
      </c>
      <c r="G664">
        <v>13740070.82</v>
      </c>
      <c r="H664" t="s">
        <v>1388</v>
      </c>
    </row>
    <row r="665" spans="1:8" x14ac:dyDescent="0.25">
      <c r="A665" t="s">
        <v>1436</v>
      </c>
      <c r="B665" t="s">
        <v>509</v>
      </c>
      <c r="C665" t="s">
        <v>510</v>
      </c>
      <c r="D665" t="s">
        <v>26</v>
      </c>
      <c r="E665">
        <v>3734508.31</v>
      </c>
      <c r="F665">
        <v>33</v>
      </c>
      <c r="G665">
        <v>123238774.23</v>
      </c>
      <c r="H665" t="s">
        <v>1388</v>
      </c>
    </row>
    <row r="666" spans="1:8" x14ac:dyDescent="0.25">
      <c r="A666" t="s">
        <v>1436</v>
      </c>
      <c r="B666" t="s">
        <v>227</v>
      </c>
      <c r="C666" t="s">
        <v>228</v>
      </c>
      <c r="D666" t="s">
        <v>14</v>
      </c>
      <c r="E666">
        <v>792974.43</v>
      </c>
      <c r="F666">
        <v>5</v>
      </c>
      <c r="G666">
        <v>3964872.15</v>
      </c>
      <c r="H666" t="s">
        <v>1388</v>
      </c>
    </row>
    <row r="667" spans="1:8" x14ac:dyDescent="0.25">
      <c r="A667" t="s">
        <v>1294</v>
      </c>
      <c r="B667" t="s">
        <v>887</v>
      </c>
      <c r="C667" t="s">
        <v>888</v>
      </c>
      <c r="D667" t="s">
        <v>19</v>
      </c>
      <c r="E667">
        <v>390024.14</v>
      </c>
      <c r="F667">
        <v>42</v>
      </c>
      <c r="G667">
        <v>16381013.880000001</v>
      </c>
      <c r="H667" t="s">
        <v>1388</v>
      </c>
    </row>
    <row r="668" spans="1:8" x14ac:dyDescent="0.25">
      <c r="A668" t="s">
        <v>1294</v>
      </c>
      <c r="B668" t="s">
        <v>595</v>
      </c>
      <c r="C668" t="s">
        <v>596</v>
      </c>
      <c r="D668" t="s">
        <v>26</v>
      </c>
      <c r="E668">
        <v>3866957.92</v>
      </c>
      <c r="F668">
        <v>8</v>
      </c>
      <c r="G668">
        <v>30935663.359999999</v>
      </c>
      <c r="H668" t="s">
        <v>1388</v>
      </c>
    </row>
    <row r="669" spans="1:8" x14ac:dyDescent="0.25">
      <c r="A669" t="s">
        <v>1295</v>
      </c>
      <c r="B669" t="s">
        <v>379</v>
      </c>
      <c r="C669" t="s">
        <v>380</v>
      </c>
      <c r="D669" t="s">
        <v>10</v>
      </c>
      <c r="E669">
        <v>305820.76</v>
      </c>
      <c r="F669">
        <v>71</v>
      </c>
      <c r="G669">
        <v>21713273.960000001</v>
      </c>
      <c r="H669" t="s">
        <v>1388</v>
      </c>
    </row>
    <row r="670" spans="1:8" x14ac:dyDescent="0.25">
      <c r="A670" t="s">
        <v>1295</v>
      </c>
      <c r="B670" t="s">
        <v>529</v>
      </c>
      <c r="C670" t="s">
        <v>530</v>
      </c>
      <c r="D670" t="s">
        <v>14</v>
      </c>
      <c r="E670">
        <v>260392.08</v>
      </c>
      <c r="F670">
        <v>65</v>
      </c>
      <c r="G670">
        <v>16925485.199999999</v>
      </c>
      <c r="H670" t="s">
        <v>1388</v>
      </c>
    </row>
    <row r="671" spans="1:8" x14ac:dyDescent="0.25">
      <c r="A671" t="s">
        <v>1296</v>
      </c>
      <c r="B671" t="s">
        <v>501</v>
      </c>
      <c r="C671" t="s">
        <v>502</v>
      </c>
      <c r="D671" t="s">
        <v>19</v>
      </c>
      <c r="E671">
        <v>1078854.29</v>
      </c>
      <c r="F671">
        <v>51</v>
      </c>
      <c r="G671">
        <v>55021568.789999999</v>
      </c>
      <c r="H671" t="s">
        <v>1388</v>
      </c>
    </row>
    <row r="672" spans="1:8" x14ac:dyDescent="0.25">
      <c r="A672" t="s">
        <v>1297</v>
      </c>
      <c r="B672" t="s">
        <v>275</v>
      </c>
      <c r="C672" t="s">
        <v>276</v>
      </c>
      <c r="D672" t="s">
        <v>10</v>
      </c>
      <c r="E672">
        <v>417747.31</v>
      </c>
      <c r="F672">
        <v>57</v>
      </c>
      <c r="G672">
        <v>23811596.670000002</v>
      </c>
      <c r="H672" t="s">
        <v>1388</v>
      </c>
    </row>
    <row r="673" spans="1:8" x14ac:dyDescent="0.25">
      <c r="A673" t="s">
        <v>1297</v>
      </c>
      <c r="B673" t="s">
        <v>491</v>
      </c>
      <c r="C673" t="s">
        <v>492</v>
      </c>
      <c r="D673" t="s">
        <v>26</v>
      </c>
      <c r="E673">
        <v>1012576.1</v>
      </c>
      <c r="F673">
        <v>34</v>
      </c>
      <c r="G673">
        <v>34427587.399999999</v>
      </c>
      <c r="H673" t="s">
        <v>1388</v>
      </c>
    </row>
    <row r="674" spans="1:8" x14ac:dyDescent="0.25">
      <c r="A674" t="s">
        <v>1297</v>
      </c>
      <c r="B674" t="s">
        <v>579</v>
      </c>
      <c r="C674" t="s">
        <v>580</v>
      </c>
      <c r="D674" t="s">
        <v>26</v>
      </c>
      <c r="E674">
        <v>1272355.8899999999</v>
      </c>
      <c r="F674">
        <v>22</v>
      </c>
      <c r="G674">
        <v>27991829.579999998</v>
      </c>
      <c r="H674" t="s">
        <v>1388</v>
      </c>
    </row>
    <row r="675" spans="1:8" x14ac:dyDescent="0.25">
      <c r="A675" t="s">
        <v>1298</v>
      </c>
      <c r="B675" t="s">
        <v>549</v>
      </c>
      <c r="C675" t="s">
        <v>550</v>
      </c>
      <c r="D675" t="s">
        <v>10</v>
      </c>
      <c r="E675">
        <v>785156.64</v>
      </c>
      <c r="F675">
        <v>75</v>
      </c>
      <c r="G675">
        <v>58886748</v>
      </c>
      <c r="H675" t="s">
        <v>1388</v>
      </c>
    </row>
    <row r="676" spans="1:8" x14ac:dyDescent="0.25">
      <c r="A676" t="s">
        <v>1298</v>
      </c>
      <c r="B676" t="s">
        <v>65</v>
      </c>
      <c r="C676" t="s">
        <v>66</v>
      </c>
      <c r="D676" t="s">
        <v>14</v>
      </c>
      <c r="E676">
        <v>87040.95</v>
      </c>
      <c r="F676">
        <v>52</v>
      </c>
      <c r="G676">
        <v>4526129.4000000004</v>
      </c>
      <c r="H676" t="s">
        <v>1388</v>
      </c>
    </row>
    <row r="677" spans="1:8" x14ac:dyDescent="0.25">
      <c r="A677" t="s">
        <v>1437</v>
      </c>
      <c r="B677" t="s">
        <v>813</v>
      </c>
      <c r="C677" t="s">
        <v>814</v>
      </c>
      <c r="D677" t="s">
        <v>26</v>
      </c>
      <c r="E677">
        <v>2728607.98</v>
      </c>
      <c r="F677">
        <v>19</v>
      </c>
      <c r="G677">
        <v>51843551.619999997</v>
      </c>
      <c r="H677" t="s">
        <v>1388</v>
      </c>
    </row>
    <row r="678" spans="1:8" x14ac:dyDescent="0.25">
      <c r="A678" t="s">
        <v>1437</v>
      </c>
      <c r="B678" t="s">
        <v>809</v>
      </c>
      <c r="C678" t="s">
        <v>810</v>
      </c>
      <c r="D678" t="s">
        <v>26</v>
      </c>
      <c r="E678">
        <v>2670669.62</v>
      </c>
      <c r="F678">
        <v>28</v>
      </c>
      <c r="G678">
        <v>74778749.359999999</v>
      </c>
      <c r="H678" t="s">
        <v>1388</v>
      </c>
    </row>
    <row r="679" spans="1:8" x14ac:dyDescent="0.25">
      <c r="A679" t="s">
        <v>1299</v>
      </c>
      <c r="B679" t="s">
        <v>793</v>
      </c>
      <c r="C679" t="s">
        <v>794</v>
      </c>
      <c r="D679" t="s">
        <v>26</v>
      </c>
      <c r="E679">
        <v>438803.15</v>
      </c>
      <c r="F679">
        <v>80</v>
      </c>
      <c r="G679">
        <v>35104252</v>
      </c>
      <c r="H679" t="s">
        <v>1388</v>
      </c>
    </row>
    <row r="680" spans="1:8" x14ac:dyDescent="0.25">
      <c r="A680" t="s">
        <v>1299</v>
      </c>
      <c r="B680" t="s">
        <v>569</v>
      </c>
      <c r="C680" t="s">
        <v>570</v>
      </c>
      <c r="D680" t="s">
        <v>26</v>
      </c>
      <c r="E680">
        <v>3813267.43</v>
      </c>
      <c r="F680">
        <v>71</v>
      </c>
      <c r="G680">
        <v>270741987.52999997</v>
      </c>
      <c r="H680" t="s">
        <v>1388</v>
      </c>
    </row>
    <row r="681" spans="1:8" x14ac:dyDescent="0.25">
      <c r="A681" t="s">
        <v>1438</v>
      </c>
      <c r="B681" t="s">
        <v>635</v>
      </c>
      <c r="C681" t="s">
        <v>636</v>
      </c>
      <c r="D681" t="s">
        <v>10</v>
      </c>
      <c r="E681">
        <v>543497.13</v>
      </c>
      <c r="F681">
        <v>29</v>
      </c>
      <c r="G681">
        <v>15761416.77</v>
      </c>
      <c r="H681" t="s">
        <v>1388</v>
      </c>
    </row>
    <row r="682" spans="1:8" x14ac:dyDescent="0.25">
      <c r="A682" t="s">
        <v>1438</v>
      </c>
      <c r="B682" t="s">
        <v>639</v>
      </c>
      <c r="C682" t="s">
        <v>640</v>
      </c>
      <c r="D682" t="s">
        <v>14</v>
      </c>
      <c r="E682">
        <v>267551.67</v>
      </c>
      <c r="F682">
        <v>32</v>
      </c>
      <c r="G682">
        <v>8561653.4399999995</v>
      </c>
      <c r="H682" t="s">
        <v>1388</v>
      </c>
    </row>
    <row r="683" spans="1:8" x14ac:dyDescent="0.25">
      <c r="A683" t="s">
        <v>1438</v>
      </c>
      <c r="B683" t="s">
        <v>637</v>
      </c>
      <c r="C683" t="s">
        <v>638</v>
      </c>
      <c r="D683" t="s">
        <v>26</v>
      </c>
      <c r="E683">
        <v>3030806.23</v>
      </c>
      <c r="F683">
        <v>30</v>
      </c>
      <c r="G683">
        <v>90924186.900000006</v>
      </c>
      <c r="H683" t="s">
        <v>1388</v>
      </c>
    </row>
    <row r="684" spans="1:8" x14ac:dyDescent="0.25">
      <c r="A684" t="s">
        <v>1300</v>
      </c>
      <c r="B684" t="s">
        <v>429</v>
      </c>
      <c r="C684" t="s">
        <v>430</v>
      </c>
      <c r="D684" t="s">
        <v>19</v>
      </c>
      <c r="E684">
        <v>1844336.82</v>
      </c>
      <c r="F684">
        <v>45</v>
      </c>
      <c r="G684">
        <v>82995156.900000006</v>
      </c>
      <c r="H684" t="s">
        <v>1388</v>
      </c>
    </row>
    <row r="685" spans="1:8" x14ac:dyDescent="0.25">
      <c r="A685" t="s">
        <v>1300</v>
      </c>
      <c r="B685" t="s">
        <v>385</v>
      </c>
      <c r="C685" t="s">
        <v>386</v>
      </c>
      <c r="D685" t="s">
        <v>10</v>
      </c>
      <c r="E685">
        <v>957972.61</v>
      </c>
      <c r="F685">
        <v>4</v>
      </c>
      <c r="G685">
        <v>3831890.44</v>
      </c>
      <c r="H685" t="s">
        <v>1388</v>
      </c>
    </row>
    <row r="686" spans="1:8" x14ac:dyDescent="0.25">
      <c r="A686" t="s">
        <v>1301</v>
      </c>
      <c r="B686" t="s">
        <v>565</v>
      </c>
      <c r="C686" t="s">
        <v>566</v>
      </c>
      <c r="D686" t="s">
        <v>26</v>
      </c>
      <c r="E686">
        <v>887960.94</v>
      </c>
      <c r="F686">
        <v>42</v>
      </c>
      <c r="G686">
        <v>37294359.479999997</v>
      </c>
      <c r="H686" t="s">
        <v>1388</v>
      </c>
    </row>
    <row r="687" spans="1:8" x14ac:dyDescent="0.25">
      <c r="A687" t="s">
        <v>1439</v>
      </c>
      <c r="B687" t="s">
        <v>661</v>
      </c>
      <c r="C687" t="s">
        <v>662</v>
      </c>
      <c r="D687" t="s">
        <v>26</v>
      </c>
      <c r="E687">
        <v>3370248.74</v>
      </c>
      <c r="F687">
        <v>67</v>
      </c>
      <c r="G687">
        <v>225806665.58000001</v>
      </c>
      <c r="H687" t="s">
        <v>1388</v>
      </c>
    </row>
    <row r="688" spans="1:8" x14ac:dyDescent="0.25">
      <c r="A688" t="s">
        <v>1439</v>
      </c>
      <c r="B688" t="s">
        <v>387</v>
      </c>
      <c r="C688" t="s">
        <v>388</v>
      </c>
      <c r="D688" t="s">
        <v>19</v>
      </c>
      <c r="E688">
        <v>81760.95</v>
      </c>
      <c r="F688">
        <v>29</v>
      </c>
      <c r="G688">
        <v>2371067.5499999998</v>
      </c>
      <c r="H688" t="s">
        <v>1388</v>
      </c>
    </row>
    <row r="689" spans="1:8" x14ac:dyDescent="0.25">
      <c r="A689" t="s">
        <v>1439</v>
      </c>
      <c r="B689" t="s">
        <v>591</v>
      </c>
      <c r="C689" t="s">
        <v>592</v>
      </c>
      <c r="D689" t="s">
        <v>10</v>
      </c>
      <c r="E689">
        <v>1095859.46</v>
      </c>
      <c r="F689">
        <v>70</v>
      </c>
      <c r="G689">
        <v>76710162.200000003</v>
      </c>
      <c r="H689" t="s">
        <v>1388</v>
      </c>
    </row>
    <row r="690" spans="1:8" x14ac:dyDescent="0.25">
      <c r="A690" t="s">
        <v>1439</v>
      </c>
      <c r="B690" t="s">
        <v>247</v>
      </c>
      <c r="C690" t="s">
        <v>248</v>
      </c>
      <c r="D690" t="s">
        <v>14</v>
      </c>
      <c r="E690">
        <v>469996.3</v>
      </c>
      <c r="F690">
        <v>65</v>
      </c>
      <c r="G690">
        <v>30549759.5</v>
      </c>
      <c r="H690" t="s">
        <v>1388</v>
      </c>
    </row>
    <row r="691" spans="1:8" x14ac:dyDescent="0.25">
      <c r="A691" t="s">
        <v>1302</v>
      </c>
      <c r="B691" t="s">
        <v>37</v>
      </c>
      <c r="C691" t="s">
        <v>38</v>
      </c>
      <c r="D691" t="s">
        <v>14</v>
      </c>
      <c r="E691">
        <v>1020479.05</v>
      </c>
      <c r="F691">
        <v>47</v>
      </c>
      <c r="G691">
        <v>47962515.350000001</v>
      </c>
      <c r="H691" t="s">
        <v>1388</v>
      </c>
    </row>
    <row r="692" spans="1:8" x14ac:dyDescent="0.25">
      <c r="A692" t="s">
        <v>1302</v>
      </c>
      <c r="B692" t="s">
        <v>669</v>
      </c>
      <c r="C692" t="s">
        <v>670</v>
      </c>
      <c r="D692" t="s">
        <v>10</v>
      </c>
      <c r="E692">
        <v>86753.76</v>
      </c>
      <c r="F692">
        <v>45</v>
      </c>
      <c r="G692">
        <v>3903919.2</v>
      </c>
      <c r="H692" t="s">
        <v>1388</v>
      </c>
    </row>
    <row r="693" spans="1:8" x14ac:dyDescent="0.25">
      <c r="A693" t="s">
        <v>1302</v>
      </c>
      <c r="B693" t="s">
        <v>979</v>
      </c>
      <c r="C693" t="s">
        <v>980</v>
      </c>
      <c r="D693" t="s">
        <v>14</v>
      </c>
      <c r="E693">
        <v>809873.92000000004</v>
      </c>
      <c r="F693">
        <v>40</v>
      </c>
      <c r="G693">
        <v>32394956.800000001</v>
      </c>
      <c r="H693" t="s">
        <v>1388</v>
      </c>
    </row>
    <row r="694" spans="1:8" x14ac:dyDescent="0.25">
      <c r="A694" t="s">
        <v>1302</v>
      </c>
      <c r="B694" t="s">
        <v>273</v>
      </c>
      <c r="C694" t="s">
        <v>274</v>
      </c>
      <c r="D694" t="s">
        <v>10</v>
      </c>
      <c r="E694">
        <v>1303290.4099999999</v>
      </c>
      <c r="F694">
        <v>8</v>
      </c>
      <c r="G694">
        <v>10426323.279999999</v>
      </c>
      <c r="H694" t="s">
        <v>1388</v>
      </c>
    </row>
    <row r="695" spans="1:8" x14ac:dyDescent="0.25">
      <c r="A695" t="s">
        <v>1302</v>
      </c>
      <c r="B695" t="s">
        <v>525</v>
      </c>
      <c r="C695" t="s">
        <v>526</v>
      </c>
      <c r="D695" t="s">
        <v>10</v>
      </c>
      <c r="E695">
        <v>1538591.04</v>
      </c>
      <c r="F695">
        <v>9</v>
      </c>
      <c r="G695">
        <v>13847319.359999999</v>
      </c>
      <c r="H695" t="s">
        <v>1388</v>
      </c>
    </row>
    <row r="696" spans="1:8" x14ac:dyDescent="0.25">
      <c r="A696" t="s">
        <v>1303</v>
      </c>
      <c r="B696" t="s">
        <v>553</v>
      </c>
      <c r="C696" t="s">
        <v>554</v>
      </c>
      <c r="D696" t="s">
        <v>19</v>
      </c>
      <c r="E696">
        <v>134215.85</v>
      </c>
      <c r="F696">
        <v>34</v>
      </c>
      <c r="G696">
        <v>4563338.9000000004</v>
      </c>
      <c r="H696" t="s">
        <v>1388</v>
      </c>
    </row>
    <row r="697" spans="1:8" x14ac:dyDescent="0.25">
      <c r="A697" t="s">
        <v>1303</v>
      </c>
      <c r="B697" t="s">
        <v>819</v>
      </c>
      <c r="C697" t="s">
        <v>820</v>
      </c>
      <c r="D697" t="s">
        <v>10</v>
      </c>
      <c r="E697">
        <v>1286095.8899999999</v>
      </c>
      <c r="F697">
        <v>57</v>
      </c>
      <c r="G697">
        <v>73307465.730000004</v>
      </c>
      <c r="H697" t="s">
        <v>1388</v>
      </c>
    </row>
    <row r="698" spans="1:8" x14ac:dyDescent="0.25">
      <c r="A698" t="s">
        <v>1304</v>
      </c>
      <c r="B698" t="s">
        <v>977</v>
      </c>
      <c r="C698" t="s">
        <v>978</v>
      </c>
      <c r="D698" t="s">
        <v>19</v>
      </c>
      <c r="E698">
        <v>243443.78</v>
      </c>
      <c r="F698">
        <v>8</v>
      </c>
      <c r="G698">
        <v>1947550.24</v>
      </c>
      <c r="H698" t="s">
        <v>1388</v>
      </c>
    </row>
    <row r="699" spans="1:8" x14ac:dyDescent="0.25">
      <c r="A699" t="s">
        <v>1304</v>
      </c>
      <c r="B699" t="s">
        <v>521</v>
      </c>
      <c r="C699" t="s">
        <v>522</v>
      </c>
      <c r="D699" t="s">
        <v>10</v>
      </c>
      <c r="E699">
        <v>433635.34</v>
      </c>
      <c r="F699">
        <v>7</v>
      </c>
      <c r="G699">
        <v>3035447.38</v>
      </c>
      <c r="H699" t="s">
        <v>1388</v>
      </c>
    </row>
    <row r="700" spans="1:8" x14ac:dyDescent="0.25">
      <c r="A700" t="s">
        <v>1304</v>
      </c>
      <c r="B700" t="s">
        <v>467</v>
      </c>
      <c r="C700" t="s">
        <v>468</v>
      </c>
      <c r="D700" t="s">
        <v>19</v>
      </c>
      <c r="E700">
        <v>1878448.92</v>
      </c>
      <c r="F700">
        <v>7</v>
      </c>
      <c r="G700">
        <v>13149142.439999999</v>
      </c>
      <c r="H700" t="s">
        <v>1388</v>
      </c>
    </row>
    <row r="701" spans="1:8" x14ac:dyDescent="0.25">
      <c r="A701" t="s">
        <v>1306</v>
      </c>
      <c r="B701" t="s">
        <v>351</v>
      </c>
      <c r="C701" t="s">
        <v>352</v>
      </c>
      <c r="D701" t="s">
        <v>14</v>
      </c>
      <c r="E701">
        <v>464887.37</v>
      </c>
      <c r="F701">
        <v>68</v>
      </c>
      <c r="G701">
        <v>31612341.16</v>
      </c>
      <c r="H701" t="s">
        <v>1388</v>
      </c>
    </row>
    <row r="702" spans="1:8" x14ac:dyDescent="0.25">
      <c r="A702" t="s">
        <v>1306</v>
      </c>
      <c r="B702" t="s">
        <v>935</v>
      </c>
      <c r="C702" t="s">
        <v>936</v>
      </c>
      <c r="D702" t="s">
        <v>14</v>
      </c>
      <c r="E702">
        <v>78963.13</v>
      </c>
      <c r="F702">
        <v>1</v>
      </c>
      <c r="G702">
        <v>78963.13</v>
      </c>
      <c r="H702" t="s">
        <v>1388</v>
      </c>
    </row>
    <row r="703" spans="1:8" x14ac:dyDescent="0.25">
      <c r="A703" t="s">
        <v>1306</v>
      </c>
      <c r="B703" t="s">
        <v>395</v>
      </c>
      <c r="C703" t="s">
        <v>396</v>
      </c>
      <c r="D703" t="s">
        <v>14</v>
      </c>
      <c r="E703">
        <v>202310.19</v>
      </c>
      <c r="F703">
        <v>49</v>
      </c>
      <c r="G703">
        <v>9913199.3100000005</v>
      </c>
      <c r="H703" t="s">
        <v>1388</v>
      </c>
    </row>
    <row r="704" spans="1:8" x14ac:dyDescent="0.25">
      <c r="A704" t="s">
        <v>1307</v>
      </c>
      <c r="B704" t="s">
        <v>863</v>
      </c>
      <c r="C704" t="s">
        <v>864</v>
      </c>
      <c r="D704" t="s">
        <v>14</v>
      </c>
      <c r="E704">
        <v>474478.08000000002</v>
      </c>
      <c r="F704">
        <v>77</v>
      </c>
      <c r="G704">
        <v>36534812.159999996</v>
      </c>
      <c r="H704" t="s">
        <v>1388</v>
      </c>
    </row>
    <row r="705" spans="1:8" x14ac:dyDescent="0.25">
      <c r="A705" t="s">
        <v>1307</v>
      </c>
      <c r="B705" t="s">
        <v>377</v>
      </c>
      <c r="C705" t="s">
        <v>378</v>
      </c>
      <c r="D705" t="s">
        <v>26</v>
      </c>
      <c r="E705">
        <v>3389806.13</v>
      </c>
      <c r="F705">
        <v>28</v>
      </c>
      <c r="G705">
        <v>94914571.640000001</v>
      </c>
      <c r="H705" t="s">
        <v>1388</v>
      </c>
    </row>
    <row r="706" spans="1:8" x14ac:dyDescent="0.25">
      <c r="A706" t="s">
        <v>1307</v>
      </c>
      <c r="B706" t="s">
        <v>953</v>
      </c>
      <c r="C706" t="s">
        <v>954</v>
      </c>
      <c r="D706" t="s">
        <v>19</v>
      </c>
      <c r="E706">
        <v>1745315.18</v>
      </c>
      <c r="F706">
        <v>13</v>
      </c>
      <c r="G706">
        <v>22689097.34</v>
      </c>
      <c r="H706" t="s">
        <v>1388</v>
      </c>
    </row>
    <row r="707" spans="1:8" x14ac:dyDescent="0.25">
      <c r="A707" t="s">
        <v>1307</v>
      </c>
      <c r="B707" t="s">
        <v>413</v>
      </c>
      <c r="C707" t="s">
        <v>414</v>
      </c>
      <c r="D707" t="s">
        <v>14</v>
      </c>
      <c r="E707">
        <v>961321.34</v>
      </c>
      <c r="F707">
        <v>12</v>
      </c>
      <c r="G707">
        <v>11535856.08</v>
      </c>
      <c r="H707" t="s">
        <v>1388</v>
      </c>
    </row>
    <row r="708" spans="1:8" x14ac:dyDescent="0.25">
      <c r="A708" t="s">
        <v>1308</v>
      </c>
      <c r="B708" t="s">
        <v>767</v>
      </c>
      <c r="C708" t="s">
        <v>768</v>
      </c>
      <c r="D708" t="s">
        <v>14</v>
      </c>
      <c r="E708">
        <v>83109.78</v>
      </c>
      <c r="F708">
        <v>19</v>
      </c>
      <c r="G708">
        <v>1579085.82</v>
      </c>
      <c r="H708" t="s">
        <v>1388</v>
      </c>
    </row>
    <row r="709" spans="1:8" x14ac:dyDescent="0.25">
      <c r="A709" t="s">
        <v>1308</v>
      </c>
      <c r="B709" t="s">
        <v>531</v>
      </c>
      <c r="C709" t="s">
        <v>532</v>
      </c>
      <c r="D709" t="s">
        <v>14</v>
      </c>
      <c r="E709">
        <v>462540.15</v>
      </c>
      <c r="F709">
        <v>36</v>
      </c>
      <c r="G709">
        <v>16651445.4</v>
      </c>
      <c r="H709" t="s">
        <v>1388</v>
      </c>
    </row>
    <row r="710" spans="1:8" x14ac:dyDescent="0.25">
      <c r="A710" t="s">
        <v>1308</v>
      </c>
      <c r="B710" t="s">
        <v>137</v>
      </c>
      <c r="C710" t="s">
        <v>138</v>
      </c>
      <c r="D710" t="s">
        <v>10</v>
      </c>
      <c r="E710">
        <v>166951.76</v>
      </c>
      <c r="F710">
        <v>6</v>
      </c>
      <c r="G710">
        <v>1001710.56</v>
      </c>
      <c r="H710" t="s">
        <v>1388</v>
      </c>
    </row>
    <row r="711" spans="1:8" x14ac:dyDescent="0.25">
      <c r="A711" t="s">
        <v>1309</v>
      </c>
      <c r="B711" t="s">
        <v>545</v>
      </c>
      <c r="C711" t="s">
        <v>546</v>
      </c>
      <c r="D711" t="s">
        <v>19</v>
      </c>
      <c r="E711">
        <v>148068.4</v>
      </c>
      <c r="F711">
        <v>35</v>
      </c>
      <c r="G711">
        <v>5182394</v>
      </c>
      <c r="H711" t="s">
        <v>1388</v>
      </c>
    </row>
    <row r="712" spans="1:8" x14ac:dyDescent="0.25">
      <c r="A712" t="s">
        <v>1309</v>
      </c>
      <c r="B712" t="s">
        <v>659</v>
      </c>
      <c r="C712" t="s">
        <v>660</v>
      </c>
      <c r="D712" t="s">
        <v>14</v>
      </c>
      <c r="E712">
        <v>1231041.4099999999</v>
      </c>
      <c r="F712">
        <v>79</v>
      </c>
      <c r="G712">
        <v>97252271.390000001</v>
      </c>
      <c r="H712" t="s">
        <v>1388</v>
      </c>
    </row>
    <row r="713" spans="1:8" x14ac:dyDescent="0.25">
      <c r="A713" t="s">
        <v>1311</v>
      </c>
      <c r="B713" t="s">
        <v>125</v>
      </c>
      <c r="C713" t="s">
        <v>126</v>
      </c>
      <c r="D713" t="s">
        <v>14</v>
      </c>
      <c r="E713">
        <v>389641.9</v>
      </c>
      <c r="F713">
        <v>48</v>
      </c>
      <c r="G713">
        <v>18702811.199999999</v>
      </c>
      <c r="H713" t="s">
        <v>1388</v>
      </c>
    </row>
    <row r="714" spans="1:8" x14ac:dyDescent="0.25">
      <c r="A714" t="s">
        <v>1312</v>
      </c>
      <c r="B714" t="s">
        <v>365</v>
      </c>
      <c r="C714" t="s">
        <v>366</v>
      </c>
      <c r="D714" t="s">
        <v>10</v>
      </c>
      <c r="E714">
        <v>96859.78</v>
      </c>
      <c r="F714">
        <v>17</v>
      </c>
      <c r="G714">
        <v>1646616.26</v>
      </c>
      <c r="H714" t="s">
        <v>1388</v>
      </c>
    </row>
    <row r="715" spans="1:8" x14ac:dyDescent="0.25">
      <c r="A715" t="s">
        <v>1312</v>
      </c>
      <c r="B715" t="s">
        <v>541</v>
      </c>
      <c r="C715" t="s">
        <v>542</v>
      </c>
      <c r="D715" t="s">
        <v>10</v>
      </c>
      <c r="E715">
        <v>244717.02</v>
      </c>
      <c r="F715">
        <v>26</v>
      </c>
      <c r="G715">
        <v>6362642.5199999996</v>
      </c>
      <c r="H715" t="s">
        <v>1388</v>
      </c>
    </row>
    <row r="716" spans="1:8" x14ac:dyDescent="0.25">
      <c r="A716" t="s">
        <v>1313</v>
      </c>
      <c r="B716" t="s">
        <v>763</v>
      </c>
      <c r="C716" t="s">
        <v>764</v>
      </c>
      <c r="D716" t="s">
        <v>19</v>
      </c>
      <c r="E716">
        <v>272850.52</v>
      </c>
      <c r="F716">
        <v>77</v>
      </c>
      <c r="G716">
        <v>21009490.039999999</v>
      </c>
      <c r="H716" t="s">
        <v>1388</v>
      </c>
    </row>
    <row r="717" spans="1:8" x14ac:dyDescent="0.25">
      <c r="A717" t="s">
        <v>1313</v>
      </c>
      <c r="B717" t="s">
        <v>341</v>
      </c>
      <c r="C717" t="s">
        <v>342</v>
      </c>
      <c r="D717" t="s">
        <v>10</v>
      </c>
      <c r="E717">
        <v>620964.91</v>
      </c>
      <c r="F717">
        <v>35</v>
      </c>
      <c r="G717">
        <v>21733771.850000001</v>
      </c>
      <c r="H717" t="s">
        <v>1388</v>
      </c>
    </row>
    <row r="718" spans="1:8" x14ac:dyDescent="0.25">
      <c r="A718" t="s">
        <v>1313</v>
      </c>
      <c r="B718" t="s">
        <v>83</v>
      </c>
      <c r="C718" t="s">
        <v>84</v>
      </c>
      <c r="D718" t="s">
        <v>19</v>
      </c>
      <c r="E718">
        <v>1908956.9</v>
      </c>
      <c r="F718">
        <v>13</v>
      </c>
      <c r="G718">
        <v>24816439.699999999</v>
      </c>
      <c r="H718" t="s">
        <v>1388</v>
      </c>
    </row>
    <row r="719" spans="1:8" x14ac:dyDescent="0.25">
      <c r="A719" t="s">
        <v>1314</v>
      </c>
      <c r="B719" t="s">
        <v>105</v>
      </c>
      <c r="C719" t="s">
        <v>106</v>
      </c>
      <c r="D719" t="s">
        <v>19</v>
      </c>
      <c r="E719">
        <v>1527488.37</v>
      </c>
      <c r="F719">
        <v>13</v>
      </c>
      <c r="G719">
        <v>19857348.809999999</v>
      </c>
      <c r="H719" t="s">
        <v>1388</v>
      </c>
    </row>
    <row r="720" spans="1:8" x14ac:dyDescent="0.25">
      <c r="A720" t="s">
        <v>1314</v>
      </c>
      <c r="B720" t="s">
        <v>125</v>
      </c>
      <c r="C720" t="s">
        <v>126</v>
      </c>
      <c r="D720" t="s">
        <v>14</v>
      </c>
      <c r="E720">
        <v>416608.89</v>
      </c>
      <c r="F720">
        <v>62</v>
      </c>
      <c r="G720">
        <v>25829751.18</v>
      </c>
      <c r="H720" t="s">
        <v>1388</v>
      </c>
    </row>
    <row r="721" spans="1:8" x14ac:dyDescent="0.25">
      <c r="A721" t="s">
        <v>1314</v>
      </c>
      <c r="B721" t="s">
        <v>241</v>
      </c>
      <c r="C721" t="s">
        <v>242</v>
      </c>
      <c r="D721" t="s">
        <v>14</v>
      </c>
      <c r="E721">
        <v>1032711.06</v>
      </c>
      <c r="F721">
        <v>72</v>
      </c>
      <c r="G721">
        <v>74355196.319999993</v>
      </c>
      <c r="H721" t="s">
        <v>1388</v>
      </c>
    </row>
    <row r="722" spans="1:8" x14ac:dyDescent="0.25">
      <c r="A722" t="s">
        <v>1314</v>
      </c>
      <c r="B722" t="s">
        <v>73</v>
      </c>
      <c r="C722" t="s">
        <v>74</v>
      </c>
      <c r="D722" t="s">
        <v>10</v>
      </c>
      <c r="E722">
        <v>903167.41</v>
      </c>
      <c r="F722">
        <v>52</v>
      </c>
      <c r="G722">
        <v>46964705.32</v>
      </c>
      <c r="H722" t="s">
        <v>1388</v>
      </c>
    </row>
    <row r="723" spans="1:8" x14ac:dyDescent="0.25">
      <c r="A723" t="s">
        <v>1314</v>
      </c>
      <c r="B723" t="s">
        <v>989</v>
      </c>
      <c r="C723" t="s">
        <v>990</v>
      </c>
      <c r="D723" t="s">
        <v>14</v>
      </c>
      <c r="E723">
        <v>1046222.41</v>
      </c>
      <c r="F723">
        <v>80</v>
      </c>
      <c r="G723">
        <v>83697792.799999997</v>
      </c>
      <c r="H723" t="s">
        <v>1388</v>
      </c>
    </row>
    <row r="724" spans="1:8" x14ac:dyDescent="0.25">
      <c r="A724" t="s">
        <v>1440</v>
      </c>
      <c r="B724" t="s">
        <v>567</v>
      </c>
      <c r="C724" t="s">
        <v>568</v>
      </c>
      <c r="D724" t="s">
        <v>26</v>
      </c>
      <c r="E724">
        <v>635724.05000000005</v>
      </c>
      <c r="F724">
        <v>19</v>
      </c>
      <c r="G724">
        <v>12078756.949999999</v>
      </c>
      <c r="H724" t="s">
        <v>1388</v>
      </c>
    </row>
    <row r="725" spans="1:8" x14ac:dyDescent="0.25">
      <c r="A725" t="s">
        <v>1440</v>
      </c>
      <c r="B725" t="s">
        <v>875</v>
      </c>
      <c r="C725" t="s">
        <v>876</v>
      </c>
      <c r="D725" t="s">
        <v>19</v>
      </c>
      <c r="E725">
        <v>832429.19</v>
      </c>
      <c r="F725">
        <v>79</v>
      </c>
      <c r="G725">
        <v>65761906.009999998</v>
      </c>
      <c r="H725" t="s">
        <v>1388</v>
      </c>
    </row>
    <row r="726" spans="1:8" x14ac:dyDescent="0.25">
      <c r="A726" t="s">
        <v>1440</v>
      </c>
      <c r="B726" t="s">
        <v>24</v>
      </c>
      <c r="C726" t="s">
        <v>25</v>
      </c>
      <c r="D726" t="s">
        <v>26</v>
      </c>
      <c r="E726">
        <v>2430718.79</v>
      </c>
      <c r="F726">
        <v>23</v>
      </c>
      <c r="G726">
        <v>55906532.170000002</v>
      </c>
      <c r="H726" t="s">
        <v>1388</v>
      </c>
    </row>
    <row r="727" spans="1:8" x14ac:dyDescent="0.25">
      <c r="A727" t="s">
        <v>1440</v>
      </c>
      <c r="B727" t="s">
        <v>17</v>
      </c>
      <c r="C727" t="s">
        <v>18</v>
      </c>
      <c r="D727" t="s">
        <v>19</v>
      </c>
      <c r="E727">
        <v>1374134.95</v>
      </c>
      <c r="F727">
        <v>40</v>
      </c>
      <c r="G727">
        <v>54965398</v>
      </c>
      <c r="H727" t="s">
        <v>1388</v>
      </c>
    </row>
    <row r="728" spans="1:8" x14ac:dyDescent="0.25">
      <c r="A728" t="s">
        <v>1316</v>
      </c>
      <c r="B728" t="s">
        <v>421</v>
      </c>
      <c r="C728" t="s">
        <v>422</v>
      </c>
      <c r="D728" t="s">
        <v>14</v>
      </c>
      <c r="E728">
        <v>479843.06</v>
      </c>
      <c r="F728">
        <v>42</v>
      </c>
      <c r="G728">
        <v>20153408.52</v>
      </c>
      <c r="H728" t="s">
        <v>1388</v>
      </c>
    </row>
    <row r="729" spans="1:8" x14ac:dyDescent="0.25">
      <c r="A729" t="s">
        <v>1317</v>
      </c>
      <c r="B729" t="s">
        <v>987</v>
      </c>
      <c r="C729" t="s">
        <v>988</v>
      </c>
      <c r="D729" t="s">
        <v>14</v>
      </c>
      <c r="E729">
        <v>770168</v>
      </c>
      <c r="F729">
        <v>14</v>
      </c>
      <c r="G729">
        <v>10782352</v>
      </c>
      <c r="H729" t="s">
        <v>1388</v>
      </c>
    </row>
    <row r="730" spans="1:8" x14ac:dyDescent="0.25">
      <c r="A730" t="s">
        <v>1317</v>
      </c>
      <c r="B730" t="s">
        <v>365</v>
      </c>
      <c r="C730" t="s">
        <v>366</v>
      </c>
      <c r="D730" t="s">
        <v>10</v>
      </c>
      <c r="E730">
        <v>89947.45</v>
      </c>
      <c r="F730">
        <v>36</v>
      </c>
      <c r="G730">
        <v>3238108.2</v>
      </c>
      <c r="H730" t="s">
        <v>1388</v>
      </c>
    </row>
    <row r="731" spans="1:8" x14ac:dyDescent="0.25">
      <c r="A731" t="s">
        <v>1317</v>
      </c>
      <c r="B731" t="s">
        <v>817</v>
      </c>
      <c r="C731" t="s">
        <v>818</v>
      </c>
      <c r="D731" t="s">
        <v>10</v>
      </c>
      <c r="E731">
        <v>1209377.48</v>
      </c>
      <c r="F731">
        <v>61</v>
      </c>
      <c r="G731">
        <v>73772026.280000001</v>
      </c>
      <c r="H731" t="s">
        <v>1388</v>
      </c>
    </row>
    <row r="732" spans="1:8" x14ac:dyDescent="0.25">
      <c r="A732" t="s">
        <v>1318</v>
      </c>
      <c r="B732" t="s">
        <v>527</v>
      </c>
      <c r="C732" t="s">
        <v>528</v>
      </c>
      <c r="D732" t="s">
        <v>14</v>
      </c>
      <c r="E732">
        <v>805999.17</v>
      </c>
      <c r="F732">
        <v>42</v>
      </c>
      <c r="G732">
        <v>33851965.140000001</v>
      </c>
      <c r="H732" t="s">
        <v>1388</v>
      </c>
    </row>
    <row r="733" spans="1:8" x14ac:dyDescent="0.25">
      <c r="A733" t="s">
        <v>1319</v>
      </c>
      <c r="B733" t="s">
        <v>259</v>
      </c>
      <c r="C733" t="s">
        <v>260</v>
      </c>
      <c r="D733" t="s">
        <v>10</v>
      </c>
      <c r="E733">
        <v>1111097.49</v>
      </c>
      <c r="F733">
        <v>19</v>
      </c>
      <c r="G733">
        <v>21110852.309999999</v>
      </c>
      <c r="H733" t="s">
        <v>1388</v>
      </c>
    </row>
    <row r="734" spans="1:8" x14ac:dyDescent="0.25">
      <c r="A734" t="s">
        <v>1320</v>
      </c>
      <c r="B734" t="s">
        <v>891</v>
      </c>
      <c r="C734" t="s">
        <v>892</v>
      </c>
      <c r="D734" t="s">
        <v>26</v>
      </c>
      <c r="E734">
        <v>2248729.15</v>
      </c>
      <c r="F734">
        <v>63</v>
      </c>
      <c r="G734">
        <v>141669936.44999999</v>
      </c>
      <c r="H734" t="s">
        <v>1388</v>
      </c>
    </row>
    <row r="735" spans="1:8" x14ac:dyDescent="0.25">
      <c r="A735" t="s">
        <v>1321</v>
      </c>
      <c r="B735" t="s">
        <v>89</v>
      </c>
      <c r="C735" t="s">
        <v>90</v>
      </c>
      <c r="D735" t="s">
        <v>26</v>
      </c>
      <c r="E735">
        <v>1132458.8600000001</v>
      </c>
      <c r="F735">
        <v>22</v>
      </c>
      <c r="G735">
        <v>24914094.920000002</v>
      </c>
      <c r="H735" t="s">
        <v>1388</v>
      </c>
    </row>
    <row r="736" spans="1:8" x14ac:dyDescent="0.25">
      <c r="A736" t="s">
        <v>1321</v>
      </c>
      <c r="B736" t="s">
        <v>213</v>
      </c>
      <c r="C736" t="s">
        <v>214</v>
      </c>
      <c r="D736" t="s">
        <v>14</v>
      </c>
      <c r="E736">
        <v>1202997.67</v>
      </c>
      <c r="F736">
        <v>18</v>
      </c>
      <c r="G736">
        <v>21653958.059999999</v>
      </c>
      <c r="H736" t="s">
        <v>1388</v>
      </c>
    </row>
    <row r="737" spans="1:8" x14ac:dyDescent="0.25">
      <c r="A737" t="s">
        <v>1322</v>
      </c>
      <c r="B737" t="s">
        <v>543</v>
      </c>
      <c r="C737" t="s">
        <v>544</v>
      </c>
      <c r="D737" t="s">
        <v>10</v>
      </c>
      <c r="E737">
        <v>1342447.85</v>
      </c>
      <c r="F737">
        <v>23</v>
      </c>
      <c r="G737">
        <v>30876300.550000001</v>
      </c>
      <c r="H737" t="s">
        <v>1388</v>
      </c>
    </row>
    <row r="738" spans="1:8" x14ac:dyDescent="0.25">
      <c r="A738" t="s">
        <v>1322</v>
      </c>
      <c r="B738" t="s">
        <v>507</v>
      </c>
      <c r="C738" t="s">
        <v>508</v>
      </c>
      <c r="D738" t="s">
        <v>14</v>
      </c>
      <c r="E738">
        <v>117793.21</v>
      </c>
      <c r="F738">
        <v>11</v>
      </c>
      <c r="G738">
        <v>1295725.31</v>
      </c>
      <c r="H738" t="s">
        <v>1388</v>
      </c>
    </row>
    <row r="739" spans="1:8" x14ac:dyDescent="0.25">
      <c r="A739" t="s">
        <v>1322</v>
      </c>
      <c r="B739" t="s">
        <v>63</v>
      </c>
      <c r="C739" t="s">
        <v>64</v>
      </c>
      <c r="D739" t="s">
        <v>19</v>
      </c>
      <c r="E739">
        <v>1365398.68</v>
      </c>
      <c r="F739">
        <v>23</v>
      </c>
      <c r="G739">
        <v>31404169.640000001</v>
      </c>
      <c r="H739" t="s">
        <v>1388</v>
      </c>
    </row>
    <row r="740" spans="1:8" x14ac:dyDescent="0.25">
      <c r="A740" t="s">
        <v>1323</v>
      </c>
      <c r="B740" t="s">
        <v>775</v>
      </c>
      <c r="C740" t="s">
        <v>776</v>
      </c>
      <c r="D740" t="s">
        <v>14</v>
      </c>
      <c r="E740">
        <v>236151.38</v>
      </c>
      <c r="F740">
        <v>12</v>
      </c>
      <c r="G740">
        <v>2833816.56</v>
      </c>
      <c r="H740" t="s">
        <v>1388</v>
      </c>
    </row>
    <row r="741" spans="1:8" x14ac:dyDescent="0.25">
      <c r="A741" t="s">
        <v>1323</v>
      </c>
      <c r="B741" t="s">
        <v>237</v>
      </c>
      <c r="C741" t="s">
        <v>238</v>
      </c>
      <c r="D741" t="s">
        <v>10</v>
      </c>
      <c r="E741">
        <v>1532839.38</v>
      </c>
      <c r="F741">
        <v>4</v>
      </c>
      <c r="G741">
        <v>6131357.5199999996</v>
      </c>
      <c r="H741" t="s">
        <v>1388</v>
      </c>
    </row>
    <row r="742" spans="1:8" x14ac:dyDescent="0.25">
      <c r="A742" t="s">
        <v>1324</v>
      </c>
      <c r="B742" t="s">
        <v>979</v>
      </c>
      <c r="C742" t="s">
        <v>980</v>
      </c>
      <c r="D742" t="s">
        <v>14</v>
      </c>
      <c r="E742">
        <v>777169.75</v>
      </c>
      <c r="F742">
        <v>18</v>
      </c>
      <c r="G742">
        <v>13989055.5</v>
      </c>
      <c r="H742" t="s">
        <v>1388</v>
      </c>
    </row>
    <row r="743" spans="1:8" x14ac:dyDescent="0.25">
      <c r="A743" t="s">
        <v>1324</v>
      </c>
      <c r="B743" t="s">
        <v>775</v>
      </c>
      <c r="C743" t="s">
        <v>776</v>
      </c>
      <c r="D743" t="s">
        <v>14</v>
      </c>
      <c r="E743">
        <v>255272.3</v>
      </c>
      <c r="F743">
        <v>24</v>
      </c>
      <c r="G743">
        <v>6126535.2000000002</v>
      </c>
      <c r="H743" t="s">
        <v>1388</v>
      </c>
    </row>
    <row r="744" spans="1:8" x14ac:dyDescent="0.25">
      <c r="A744" t="s">
        <v>1325</v>
      </c>
      <c r="B744" t="s">
        <v>259</v>
      </c>
      <c r="C744" t="s">
        <v>260</v>
      </c>
      <c r="D744" t="s">
        <v>10</v>
      </c>
      <c r="E744">
        <v>1144805.24</v>
      </c>
      <c r="F744">
        <v>40</v>
      </c>
      <c r="G744">
        <v>45792209.600000001</v>
      </c>
      <c r="H744" t="s">
        <v>1388</v>
      </c>
    </row>
    <row r="745" spans="1:8" x14ac:dyDescent="0.25">
      <c r="A745" t="s">
        <v>1325</v>
      </c>
      <c r="B745" t="s">
        <v>979</v>
      </c>
      <c r="C745" t="s">
        <v>980</v>
      </c>
      <c r="D745" t="s">
        <v>14</v>
      </c>
      <c r="E745">
        <v>702273.56</v>
      </c>
      <c r="F745">
        <v>24</v>
      </c>
      <c r="G745">
        <v>16854565.440000001</v>
      </c>
      <c r="H745" t="s">
        <v>1388</v>
      </c>
    </row>
    <row r="746" spans="1:8" x14ac:dyDescent="0.25">
      <c r="A746" t="s">
        <v>1326</v>
      </c>
      <c r="B746" t="s">
        <v>305</v>
      </c>
      <c r="C746" t="s">
        <v>306</v>
      </c>
      <c r="D746" t="s">
        <v>10</v>
      </c>
      <c r="E746">
        <v>1278841.2</v>
      </c>
      <c r="F746">
        <v>67</v>
      </c>
      <c r="G746">
        <v>85682360.400000006</v>
      </c>
      <c r="H746" t="s">
        <v>1388</v>
      </c>
    </row>
    <row r="747" spans="1:8" x14ac:dyDescent="0.25">
      <c r="A747" t="s">
        <v>1326</v>
      </c>
      <c r="B747" t="s">
        <v>285</v>
      </c>
      <c r="C747" t="s">
        <v>286</v>
      </c>
      <c r="D747" t="s">
        <v>19</v>
      </c>
      <c r="E747">
        <v>1381804.22</v>
      </c>
      <c r="F747">
        <v>80</v>
      </c>
      <c r="G747">
        <v>110544337.59999999</v>
      </c>
      <c r="H747" t="s">
        <v>1388</v>
      </c>
    </row>
    <row r="748" spans="1:8" x14ac:dyDescent="0.25">
      <c r="A748" t="s">
        <v>1441</v>
      </c>
      <c r="B748" t="s">
        <v>661</v>
      </c>
      <c r="C748" t="s">
        <v>662</v>
      </c>
      <c r="D748" t="s">
        <v>26</v>
      </c>
      <c r="E748">
        <v>3569013.99</v>
      </c>
      <c r="F748">
        <v>31</v>
      </c>
      <c r="G748">
        <v>110639433.69</v>
      </c>
      <c r="H748" t="s">
        <v>1388</v>
      </c>
    </row>
    <row r="749" spans="1:8" x14ac:dyDescent="0.25">
      <c r="A749" t="s">
        <v>1441</v>
      </c>
      <c r="B749" t="s">
        <v>361</v>
      </c>
      <c r="C749" t="s">
        <v>362</v>
      </c>
      <c r="D749" t="s">
        <v>14</v>
      </c>
      <c r="E749">
        <v>1157478.23</v>
      </c>
      <c r="F749">
        <v>33</v>
      </c>
      <c r="G749">
        <v>38196781.590000004</v>
      </c>
      <c r="H749" t="s">
        <v>1388</v>
      </c>
    </row>
    <row r="750" spans="1:8" x14ac:dyDescent="0.25">
      <c r="A750" t="s">
        <v>1327</v>
      </c>
      <c r="B750" t="s">
        <v>73</v>
      </c>
      <c r="C750" t="s">
        <v>74</v>
      </c>
      <c r="D750" t="s">
        <v>10</v>
      </c>
      <c r="E750">
        <v>915594.08</v>
      </c>
      <c r="F750">
        <v>61</v>
      </c>
      <c r="G750">
        <v>55851238.880000003</v>
      </c>
      <c r="H750" t="s">
        <v>1388</v>
      </c>
    </row>
    <row r="751" spans="1:8" x14ac:dyDescent="0.25">
      <c r="A751" t="s">
        <v>1327</v>
      </c>
      <c r="B751" t="s">
        <v>1009</v>
      </c>
      <c r="C751" t="s">
        <v>1010</v>
      </c>
      <c r="D751" t="s">
        <v>10</v>
      </c>
      <c r="E751">
        <v>1336831.1599999999</v>
      </c>
      <c r="F751">
        <v>61</v>
      </c>
      <c r="G751">
        <v>81546700.760000005</v>
      </c>
      <c r="H751" t="s">
        <v>1388</v>
      </c>
    </row>
    <row r="752" spans="1:8" x14ac:dyDescent="0.25">
      <c r="A752" t="s">
        <v>1328</v>
      </c>
      <c r="B752" t="s">
        <v>407</v>
      </c>
      <c r="C752" t="s">
        <v>408</v>
      </c>
      <c r="D752" t="s">
        <v>19</v>
      </c>
      <c r="E752">
        <v>1183676.67</v>
      </c>
      <c r="F752">
        <v>45</v>
      </c>
      <c r="G752">
        <v>53265450.149999999</v>
      </c>
      <c r="H752" t="s">
        <v>1388</v>
      </c>
    </row>
    <row r="753" spans="1:8" x14ac:dyDescent="0.25">
      <c r="A753" t="s">
        <v>1328</v>
      </c>
      <c r="B753" t="s">
        <v>67</v>
      </c>
      <c r="C753" t="s">
        <v>68</v>
      </c>
      <c r="D753" t="s">
        <v>19</v>
      </c>
      <c r="E753">
        <v>477159.16</v>
      </c>
      <c r="F753">
        <v>61</v>
      </c>
      <c r="G753">
        <v>29106708.760000002</v>
      </c>
      <c r="H753" t="s">
        <v>1388</v>
      </c>
    </row>
    <row r="754" spans="1:8" x14ac:dyDescent="0.25">
      <c r="A754" t="s">
        <v>1329</v>
      </c>
      <c r="B754" t="s">
        <v>343</v>
      </c>
      <c r="C754" t="s">
        <v>344</v>
      </c>
      <c r="D754" t="s">
        <v>19</v>
      </c>
      <c r="E754">
        <v>185641.51</v>
      </c>
      <c r="F754">
        <v>78</v>
      </c>
      <c r="G754">
        <v>14480037.779999999</v>
      </c>
      <c r="H754" t="s">
        <v>1388</v>
      </c>
    </row>
    <row r="755" spans="1:8" x14ac:dyDescent="0.25">
      <c r="A755" t="s">
        <v>1329</v>
      </c>
      <c r="B755" t="s">
        <v>383</v>
      </c>
      <c r="C755" t="s">
        <v>384</v>
      </c>
      <c r="D755" t="s">
        <v>10</v>
      </c>
      <c r="E755">
        <v>964881</v>
      </c>
      <c r="F755">
        <v>28</v>
      </c>
      <c r="G755">
        <v>27016668</v>
      </c>
      <c r="H755" t="s">
        <v>1388</v>
      </c>
    </row>
    <row r="756" spans="1:8" x14ac:dyDescent="0.25">
      <c r="A756" t="s">
        <v>1329</v>
      </c>
      <c r="B756" t="s">
        <v>219</v>
      </c>
      <c r="C756" t="s">
        <v>220</v>
      </c>
      <c r="D756" t="s">
        <v>19</v>
      </c>
      <c r="E756">
        <v>1929334.61</v>
      </c>
      <c r="F756">
        <v>48</v>
      </c>
      <c r="G756">
        <v>92608061.280000001</v>
      </c>
      <c r="H756" t="s">
        <v>1388</v>
      </c>
    </row>
    <row r="757" spans="1:8" x14ac:dyDescent="0.25">
      <c r="A757" t="s">
        <v>1329</v>
      </c>
      <c r="B757" t="s">
        <v>593</v>
      </c>
      <c r="C757" t="s">
        <v>594</v>
      </c>
      <c r="D757" t="s">
        <v>19</v>
      </c>
      <c r="E757">
        <v>618015.63</v>
      </c>
      <c r="F757">
        <v>76</v>
      </c>
      <c r="G757">
        <v>46969187.880000003</v>
      </c>
      <c r="H757" t="s">
        <v>1388</v>
      </c>
    </row>
    <row r="758" spans="1:8" x14ac:dyDescent="0.25">
      <c r="A758" t="s">
        <v>1442</v>
      </c>
      <c r="B758" t="s">
        <v>875</v>
      </c>
      <c r="C758" t="s">
        <v>876</v>
      </c>
      <c r="D758" t="s">
        <v>19</v>
      </c>
      <c r="E758">
        <v>800756.92</v>
      </c>
      <c r="F758">
        <v>44</v>
      </c>
      <c r="G758">
        <v>35233304.479999997</v>
      </c>
      <c r="H758" t="s">
        <v>1388</v>
      </c>
    </row>
    <row r="759" spans="1:8" x14ac:dyDescent="0.25">
      <c r="A759" t="s">
        <v>1442</v>
      </c>
      <c r="B759" t="s">
        <v>287</v>
      </c>
      <c r="C759" t="s">
        <v>288</v>
      </c>
      <c r="D759" t="s">
        <v>10</v>
      </c>
      <c r="E759">
        <v>684579.14</v>
      </c>
      <c r="F759">
        <v>52</v>
      </c>
      <c r="G759">
        <v>35598115.280000001</v>
      </c>
      <c r="H759" t="s">
        <v>1388</v>
      </c>
    </row>
    <row r="760" spans="1:8" x14ac:dyDescent="0.25">
      <c r="A760" t="s">
        <v>1442</v>
      </c>
      <c r="B760" t="s">
        <v>449</v>
      </c>
      <c r="C760" t="s">
        <v>450</v>
      </c>
      <c r="D760" t="s">
        <v>26</v>
      </c>
      <c r="E760">
        <v>1506409.96</v>
      </c>
      <c r="F760">
        <v>73</v>
      </c>
      <c r="G760">
        <v>109967927.08</v>
      </c>
      <c r="H760" t="s">
        <v>1388</v>
      </c>
    </row>
    <row r="761" spans="1:8" x14ac:dyDescent="0.25">
      <c r="A761" t="s">
        <v>1442</v>
      </c>
      <c r="B761" t="s">
        <v>675</v>
      </c>
      <c r="C761" t="s">
        <v>676</v>
      </c>
      <c r="D761" t="s">
        <v>19</v>
      </c>
      <c r="E761">
        <v>492084.44</v>
      </c>
      <c r="F761">
        <v>76</v>
      </c>
      <c r="G761">
        <v>37398417.439999998</v>
      </c>
      <c r="H761" t="s">
        <v>1388</v>
      </c>
    </row>
    <row r="762" spans="1:8" x14ac:dyDescent="0.25">
      <c r="A762" t="s">
        <v>1330</v>
      </c>
      <c r="B762" t="s">
        <v>505</v>
      </c>
      <c r="C762" t="s">
        <v>506</v>
      </c>
      <c r="D762" t="s">
        <v>14</v>
      </c>
      <c r="E762">
        <v>1044753.17</v>
      </c>
      <c r="F762">
        <v>51</v>
      </c>
      <c r="G762">
        <v>53282411.670000002</v>
      </c>
      <c r="H762" t="s">
        <v>1388</v>
      </c>
    </row>
    <row r="763" spans="1:8" x14ac:dyDescent="0.25">
      <c r="A763" t="s">
        <v>1331</v>
      </c>
      <c r="B763" t="s">
        <v>979</v>
      </c>
      <c r="C763" t="s">
        <v>980</v>
      </c>
      <c r="D763" t="s">
        <v>14</v>
      </c>
      <c r="E763">
        <v>763361.98</v>
      </c>
      <c r="F763">
        <v>24</v>
      </c>
      <c r="G763">
        <v>18320687.52</v>
      </c>
      <c r="H763" t="s">
        <v>1388</v>
      </c>
    </row>
    <row r="764" spans="1:8" x14ac:dyDescent="0.25">
      <c r="A764" t="s">
        <v>1331</v>
      </c>
      <c r="B764" t="s">
        <v>469</v>
      </c>
      <c r="C764" t="s">
        <v>470</v>
      </c>
      <c r="D764" t="s">
        <v>14</v>
      </c>
      <c r="E764">
        <v>842353.6</v>
      </c>
      <c r="F764">
        <v>28</v>
      </c>
      <c r="G764">
        <v>23585900.800000001</v>
      </c>
      <c r="H764" t="s">
        <v>1388</v>
      </c>
    </row>
    <row r="765" spans="1:8" x14ac:dyDescent="0.25">
      <c r="A765" t="s">
        <v>1332</v>
      </c>
      <c r="B765" t="s">
        <v>765</v>
      </c>
      <c r="C765" t="s">
        <v>766</v>
      </c>
      <c r="D765" t="s">
        <v>14</v>
      </c>
      <c r="E765">
        <v>755226.37</v>
      </c>
      <c r="F765">
        <v>32</v>
      </c>
      <c r="G765">
        <v>24167243.84</v>
      </c>
      <c r="H765" t="s">
        <v>1388</v>
      </c>
    </row>
    <row r="766" spans="1:8" x14ac:dyDescent="0.25">
      <c r="A766" t="s">
        <v>1332</v>
      </c>
      <c r="B766" t="s">
        <v>249</v>
      </c>
      <c r="C766" t="s">
        <v>250</v>
      </c>
      <c r="D766" t="s">
        <v>14</v>
      </c>
      <c r="E766">
        <v>591015.47</v>
      </c>
      <c r="F766">
        <v>75</v>
      </c>
      <c r="G766">
        <v>44326160.25</v>
      </c>
      <c r="H766" t="s">
        <v>1388</v>
      </c>
    </row>
    <row r="767" spans="1:8" x14ac:dyDescent="0.25">
      <c r="A767" t="s">
        <v>1332</v>
      </c>
      <c r="B767" t="s">
        <v>749</v>
      </c>
      <c r="C767" t="s">
        <v>750</v>
      </c>
      <c r="D767" t="s">
        <v>19</v>
      </c>
      <c r="E767">
        <v>258865.87</v>
      </c>
      <c r="F767">
        <v>5</v>
      </c>
      <c r="G767">
        <v>1294329.3500000001</v>
      </c>
      <c r="H767" t="s">
        <v>1388</v>
      </c>
    </row>
    <row r="768" spans="1:8" x14ac:dyDescent="0.25">
      <c r="A768" t="s">
        <v>1332</v>
      </c>
      <c r="B768" t="s">
        <v>545</v>
      </c>
      <c r="C768" t="s">
        <v>546</v>
      </c>
      <c r="D768" t="s">
        <v>19</v>
      </c>
      <c r="E768">
        <v>154326.82999999999</v>
      </c>
      <c r="F768">
        <v>68</v>
      </c>
      <c r="G768">
        <v>10494224.439999999</v>
      </c>
      <c r="H768" t="s">
        <v>1388</v>
      </c>
    </row>
    <row r="769" spans="1:8" x14ac:dyDescent="0.25">
      <c r="A769" t="s">
        <v>1333</v>
      </c>
      <c r="B769" t="s">
        <v>127</v>
      </c>
      <c r="C769" t="s">
        <v>128</v>
      </c>
      <c r="D769" t="s">
        <v>14</v>
      </c>
      <c r="E769">
        <v>1076174.49</v>
      </c>
      <c r="F769">
        <v>77</v>
      </c>
      <c r="G769">
        <v>82865435.730000004</v>
      </c>
      <c r="H769" t="s">
        <v>1388</v>
      </c>
    </row>
    <row r="770" spans="1:8" x14ac:dyDescent="0.25">
      <c r="A770" t="s">
        <v>1333</v>
      </c>
      <c r="B770" t="s">
        <v>233</v>
      </c>
      <c r="C770" t="s">
        <v>234</v>
      </c>
      <c r="D770" t="s">
        <v>26</v>
      </c>
      <c r="E770">
        <v>3434663.09</v>
      </c>
      <c r="F770">
        <v>46</v>
      </c>
      <c r="G770">
        <v>157994502.13999999</v>
      </c>
      <c r="H770" t="s">
        <v>1388</v>
      </c>
    </row>
    <row r="771" spans="1:8" x14ac:dyDescent="0.25">
      <c r="A771" t="s">
        <v>1333</v>
      </c>
      <c r="B771" t="s">
        <v>73</v>
      </c>
      <c r="C771" t="s">
        <v>74</v>
      </c>
      <c r="D771" t="s">
        <v>10</v>
      </c>
      <c r="E771">
        <v>1002563.95</v>
      </c>
      <c r="F771">
        <v>76</v>
      </c>
      <c r="G771">
        <v>76194860.200000003</v>
      </c>
      <c r="H771" t="s">
        <v>1388</v>
      </c>
    </row>
    <row r="772" spans="1:8" x14ac:dyDescent="0.25">
      <c r="A772" t="s">
        <v>1334</v>
      </c>
      <c r="B772" t="s">
        <v>111</v>
      </c>
      <c r="C772" t="s">
        <v>112</v>
      </c>
      <c r="D772" t="s">
        <v>19</v>
      </c>
      <c r="E772">
        <v>691882.35</v>
      </c>
      <c r="F772">
        <v>78</v>
      </c>
      <c r="G772">
        <v>53966823.299999997</v>
      </c>
      <c r="H772" t="s">
        <v>1388</v>
      </c>
    </row>
    <row r="773" spans="1:8" x14ac:dyDescent="0.25">
      <c r="A773" t="s">
        <v>1334</v>
      </c>
      <c r="B773" t="s">
        <v>609</v>
      </c>
      <c r="C773" t="s">
        <v>610</v>
      </c>
      <c r="D773" t="s">
        <v>14</v>
      </c>
      <c r="E773">
        <v>472920.98</v>
      </c>
      <c r="F773">
        <v>68</v>
      </c>
      <c r="G773">
        <v>32158626.640000001</v>
      </c>
      <c r="H773" t="s">
        <v>1388</v>
      </c>
    </row>
    <row r="774" spans="1:8" x14ac:dyDescent="0.25">
      <c r="A774" t="s">
        <v>1335</v>
      </c>
      <c r="B774" t="s">
        <v>531</v>
      </c>
      <c r="C774" t="s">
        <v>532</v>
      </c>
      <c r="D774" t="s">
        <v>14</v>
      </c>
      <c r="E774">
        <v>467210.67</v>
      </c>
      <c r="F774">
        <v>59</v>
      </c>
      <c r="G774">
        <v>27565429.530000001</v>
      </c>
      <c r="H774" t="s">
        <v>1388</v>
      </c>
    </row>
    <row r="775" spans="1:8" x14ac:dyDescent="0.25">
      <c r="A775" t="s">
        <v>1336</v>
      </c>
      <c r="B775" t="s">
        <v>207</v>
      </c>
      <c r="C775" t="s">
        <v>208</v>
      </c>
      <c r="D775" t="s">
        <v>14</v>
      </c>
      <c r="E775">
        <v>593226.42000000004</v>
      </c>
      <c r="F775">
        <v>54</v>
      </c>
      <c r="G775">
        <v>32034226.68</v>
      </c>
      <c r="H775" t="s">
        <v>1388</v>
      </c>
    </row>
    <row r="776" spans="1:8" x14ac:dyDescent="0.25">
      <c r="A776" t="s">
        <v>1337</v>
      </c>
      <c r="B776" t="s">
        <v>461</v>
      </c>
      <c r="C776" t="s">
        <v>462</v>
      </c>
      <c r="D776" t="s">
        <v>14</v>
      </c>
      <c r="E776">
        <v>746061.71</v>
      </c>
      <c r="F776">
        <v>79</v>
      </c>
      <c r="G776">
        <v>58938875.090000004</v>
      </c>
      <c r="H776" t="s">
        <v>1388</v>
      </c>
    </row>
    <row r="777" spans="1:8" x14ac:dyDescent="0.25">
      <c r="A777" t="s">
        <v>1337</v>
      </c>
      <c r="B777" t="s">
        <v>447</v>
      </c>
      <c r="C777" t="s">
        <v>448</v>
      </c>
      <c r="D777" t="s">
        <v>19</v>
      </c>
      <c r="E777">
        <v>435851.08</v>
      </c>
      <c r="F777">
        <v>73</v>
      </c>
      <c r="G777">
        <v>31817128.84</v>
      </c>
      <c r="H777" t="s">
        <v>1388</v>
      </c>
    </row>
    <row r="778" spans="1:8" x14ac:dyDescent="0.25">
      <c r="A778" t="s">
        <v>1337</v>
      </c>
      <c r="B778" t="s">
        <v>445</v>
      </c>
      <c r="C778" t="s">
        <v>446</v>
      </c>
      <c r="D778" t="s">
        <v>10</v>
      </c>
      <c r="E778">
        <v>1566999.18</v>
      </c>
      <c r="F778">
        <v>56</v>
      </c>
      <c r="G778">
        <v>87751954.079999998</v>
      </c>
      <c r="H778" t="s">
        <v>1388</v>
      </c>
    </row>
    <row r="779" spans="1:8" x14ac:dyDescent="0.25">
      <c r="A779" t="s">
        <v>1337</v>
      </c>
      <c r="B779" t="s">
        <v>569</v>
      </c>
      <c r="C779" t="s">
        <v>570</v>
      </c>
      <c r="D779" t="s">
        <v>26</v>
      </c>
      <c r="E779">
        <v>3620830.17</v>
      </c>
      <c r="F779">
        <v>64</v>
      </c>
      <c r="G779">
        <v>231733130.88</v>
      </c>
      <c r="H779" t="s">
        <v>1388</v>
      </c>
    </row>
    <row r="780" spans="1:8" x14ac:dyDescent="0.25">
      <c r="A780" t="s">
        <v>1337</v>
      </c>
      <c r="B780" t="s">
        <v>123</v>
      </c>
      <c r="C780" t="s">
        <v>124</v>
      </c>
      <c r="D780" t="s">
        <v>19</v>
      </c>
      <c r="E780">
        <v>475171.67</v>
      </c>
      <c r="F780">
        <v>3</v>
      </c>
      <c r="G780">
        <v>1425515.01</v>
      </c>
      <c r="H780" t="s">
        <v>1388</v>
      </c>
    </row>
    <row r="781" spans="1:8" x14ac:dyDescent="0.25">
      <c r="A781" t="s">
        <v>1338</v>
      </c>
      <c r="B781" t="s">
        <v>439</v>
      </c>
      <c r="C781" t="s">
        <v>440</v>
      </c>
      <c r="D781" t="s">
        <v>14</v>
      </c>
      <c r="E781">
        <v>1061598.52</v>
      </c>
      <c r="F781">
        <v>23</v>
      </c>
      <c r="G781">
        <v>24416765.960000001</v>
      </c>
      <c r="H781" t="s">
        <v>1388</v>
      </c>
    </row>
    <row r="782" spans="1:8" x14ac:dyDescent="0.25">
      <c r="A782" t="s">
        <v>1339</v>
      </c>
      <c r="B782" t="s">
        <v>295</v>
      </c>
      <c r="C782" t="s">
        <v>296</v>
      </c>
      <c r="D782" t="s">
        <v>19</v>
      </c>
      <c r="E782">
        <v>701519.39</v>
      </c>
      <c r="F782">
        <v>36</v>
      </c>
      <c r="G782">
        <v>25254698.039999999</v>
      </c>
      <c r="H782" t="s">
        <v>1388</v>
      </c>
    </row>
    <row r="783" spans="1:8" x14ac:dyDescent="0.25">
      <c r="A783" t="s">
        <v>1339</v>
      </c>
      <c r="B783" t="s">
        <v>459</v>
      </c>
      <c r="C783" t="s">
        <v>460</v>
      </c>
      <c r="D783" t="s">
        <v>26</v>
      </c>
      <c r="E783">
        <v>2638234.04</v>
      </c>
      <c r="F783">
        <v>42</v>
      </c>
      <c r="G783">
        <v>110805829.68000001</v>
      </c>
      <c r="H783" t="s">
        <v>1388</v>
      </c>
    </row>
    <row r="784" spans="1:8" x14ac:dyDescent="0.25">
      <c r="A784" t="s">
        <v>1443</v>
      </c>
      <c r="B784" t="s">
        <v>581</v>
      </c>
      <c r="C784" t="s">
        <v>582</v>
      </c>
      <c r="D784" t="s">
        <v>26</v>
      </c>
      <c r="E784">
        <v>3663188.13</v>
      </c>
      <c r="F784">
        <v>68</v>
      </c>
      <c r="G784">
        <v>249096792.84</v>
      </c>
      <c r="H784" t="s">
        <v>1388</v>
      </c>
    </row>
    <row r="785" spans="1:8" x14ac:dyDescent="0.25">
      <c r="A785" t="s">
        <v>1443</v>
      </c>
      <c r="B785" t="s">
        <v>447</v>
      </c>
      <c r="C785" t="s">
        <v>448</v>
      </c>
      <c r="D785" t="s">
        <v>19</v>
      </c>
      <c r="E785">
        <v>465319.3</v>
      </c>
      <c r="F785">
        <v>62</v>
      </c>
      <c r="G785">
        <v>28849796.600000001</v>
      </c>
      <c r="H785" t="s">
        <v>1388</v>
      </c>
    </row>
    <row r="786" spans="1:8" x14ac:dyDescent="0.25">
      <c r="A786" t="s">
        <v>1341</v>
      </c>
      <c r="B786" t="s">
        <v>393</v>
      </c>
      <c r="C786" t="s">
        <v>394</v>
      </c>
      <c r="D786" t="s">
        <v>26</v>
      </c>
      <c r="E786">
        <v>1061025.8400000001</v>
      </c>
      <c r="F786">
        <v>49</v>
      </c>
      <c r="G786">
        <v>51990266.159999996</v>
      </c>
      <c r="H786" t="s">
        <v>1388</v>
      </c>
    </row>
    <row r="787" spans="1:8" x14ac:dyDescent="0.25">
      <c r="A787" t="s">
        <v>1341</v>
      </c>
      <c r="B787" t="s">
        <v>587</v>
      </c>
      <c r="C787" t="s">
        <v>588</v>
      </c>
      <c r="D787" t="s">
        <v>14</v>
      </c>
      <c r="E787">
        <v>878782.9</v>
      </c>
      <c r="F787">
        <v>74</v>
      </c>
      <c r="G787">
        <v>65029934.600000001</v>
      </c>
      <c r="H787" t="s">
        <v>1388</v>
      </c>
    </row>
    <row r="788" spans="1:8" x14ac:dyDescent="0.25">
      <c r="A788" t="s">
        <v>1341</v>
      </c>
      <c r="B788" t="s">
        <v>423</v>
      </c>
      <c r="C788" t="s">
        <v>424</v>
      </c>
      <c r="D788" t="s">
        <v>26</v>
      </c>
      <c r="E788">
        <v>3763556.37</v>
      </c>
      <c r="F788">
        <v>12</v>
      </c>
      <c r="G788">
        <v>45162676.439999998</v>
      </c>
      <c r="H788" t="s">
        <v>1388</v>
      </c>
    </row>
    <row r="789" spans="1:8" x14ac:dyDescent="0.25">
      <c r="A789" t="s">
        <v>1444</v>
      </c>
      <c r="B789" t="s">
        <v>723</v>
      </c>
      <c r="C789" t="s">
        <v>724</v>
      </c>
      <c r="D789" t="s">
        <v>26</v>
      </c>
      <c r="E789">
        <v>4008440.56</v>
      </c>
      <c r="F789">
        <v>27</v>
      </c>
      <c r="G789">
        <v>108227895.12</v>
      </c>
      <c r="H789" t="s">
        <v>1388</v>
      </c>
    </row>
    <row r="790" spans="1:8" x14ac:dyDescent="0.25">
      <c r="A790" t="s">
        <v>1444</v>
      </c>
      <c r="B790" t="s">
        <v>145</v>
      </c>
      <c r="C790" t="s">
        <v>146</v>
      </c>
      <c r="D790" t="s">
        <v>19</v>
      </c>
      <c r="E790">
        <v>1451403.06</v>
      </c>
      <c r="F790">
        <v>59</v>
      </c>
      <c r="G790">
        <v>85632780.540000007</v>
      </c>
      <c r="H790" t="s">
        <v>1388</v>
      </c>
    </row>
    <row r="791" spans="1:8" x14ac:dyDescent="0.25">
      <c r="A791" t="s">
        <v>1444</v>
      </c>
      <c r="B791" t="s">
        <v>627</v>
      </c>
      <c r="C791" t="s">
        <v>628</v>
      </c>
      <c r="D791" t="s">
        <v>19</v>
      </c>
      <c r="E791">
        <v>1338547.45</v>
      </c>
      <c r="F791">
        <v>51</v>
      </c>
      <c r="G791">
        <v>68265919.950000003</v>
      </c>
      <c r="H791" t="s">
        <v>1388</v>
      </c>
    </row>
    <row r="792" spans="1:8" x14ac:dyDescent="0.25">
      <c r="A792" t="s">
        <v>1444</v>
      </c>
      <c r="B792" t="s">
        <v>405</v>
      </c>
      <c r="C792" t="s">
        <v>406</v>
      </c>
      <c r="D792" t="s">
        <v>19</v>
      </c>
      <c r="E792">
        <v>1802156.81</v>
      </c>
      <c r="F792">
        <v>14</v>
      </c>
      <c r="G792">
        <v>25230195.34</v>
      </c>
      <c r="H792" t="s">
        <v>1388</v>
      </c>
    </row>
    <row r="793" spans="1:8" x14ac:dyDescent="0.25">
      <c r="A793" t="s">
        <v>1342</v>
      </c>
      <c r="B793" t="s">
        <v>423</v>
      </c>
      <c r="C793" t="s">
        <v>424</v>
      </c>
      <c r="D793" t="s">
        <v>26</v>
      </c>
      <c r="E793">
        <v>3517679.16</v>
      </c>
      <c r="F793">
        <v>9</v>
      </c>
      <c r="G793">
        <v>31659112.440000001</v>
      </c>
      <c r="H793" t="s">
        <v>1388</v>
      </c>
    </row>
    <row r="794" spans="1:8" x14ac:dyDescent="0.25">
      <c r="A794" t="s">
        <v>1342</v>
      </c>
      <c r="B794" t="s">
        <v>799</v>
      </c>
      <c r="C794" t="s">
        <v>800</v>
      </c>
      <c r="D794" t="s">
        <v>19</v>
      </c>
      <c r="E794">
        <v>694289.87</v>
      </c>
      <c r="F794">
        <v>69</v>
      </c>
      <c r="G794">
        <v>47906001.030000001</v>
      </c>
      <c r="H794" t="s">
        <v>1388</v>
      </c>
    </row>
    <row r="795" spans="1:8" x14ac:dyDescent="0.25">
      <c r="A795" t="s">
        <v>1343</v>
      </c>
      <c r="B795" t="s">
        <v>763</v>
      </c>
      <c r="C795" t="s">
        <v>764</v>
      </c>
      <c r="D795" t="s">
        <v>19</v>
      </c>
      <c r="E795">
        <v>294008.65999999997</v>
      </c>
      <c r="F795">
        <v>53</v>
      </c>
      <c r="G795">
        <v>15582458.98</v>
      </c>
      <c r="H795" t="s">
        <v>1388</v>
      </c>
    </row>
    <row r="796" spans="1:8" x14ac:dyDescent="0.25">
      <c r="A796" t="s">
        <v>1345</v>
      </c>
      <c r="B796" t="s">
        <v>457</v>
      </c>
      <c r="C796" t="s">
        <v>458</v>
      </c>
      <c r="D796" t="s">
        <v>26</v>
      </c>
      <c r="E796">
        <v>609210.51</v>
      </c>
      <c r="F796">
        <v>29</v>
      </c>
      <c r="G796">
        <v>17667104.789999999</v>
      </c>
      <c r="H796" t="s">
        <v>1388</v>
      </c>
    </row>
    <row r="797" spans="1:8" x14ac:dyDescent="0.25">
      <c r="A797" t="s">
        <v>1346</v>
      </c>
      <c r="B797" t="s">
        <v>671</v>
      </c>
      <c r="C797" t="s">
        <v>672</v>
      </c>
      <c r="D797" t="s">
        <v>19</v>
      </c>
      <c r="E797">
        <v>323588.15000000002</v>
      </c>
      <c r="F797">
        <v>51</v>
      </c>
      <c r="G797">
        <v>16502995.65</v>
      </c>
      <c r="H797" t="s">
        <v>1388</v>
      </c>
    </row>
    <row r="798" spans="1:8" x14ac:dyDescent="0.25">
      <c r="A798" t="s">
        <v>1346</v>
      </c>
      <c r="B798" t="s">
        <v>525</v>
      </c>
      <c r="C798" t="s">
        <v>526</v>
      </c>
      <c r="D798" t="s">
        <v>10</v>
      </c>
      <c r="E798">
        <v>1587456.88</v>
      </c>
      <c r="F798">
        <v>32</v>
      </c>
      <c r="G798">
        <v>50798620.159999996</v>
      </c>
      <c r="H798" t="s">
        <v>1388</v>
      </c>
    </row>
    <row r="799" spans="1:8" x14ac:dyDescent="0.25">
      <c r="A799" t="s">
        <v>1346</v>
      </c>
      <c r="B799" t="s">
        <v>541</v>
      </c>
      <c r="C799" t="s">
        <v>542</v>
      </c>
      <c r="D799" t="s">
        <v>10</v>
      </c>
      <c r="E799">
        <v>266314</v>
      </c>
      <c r="F799">
        <v>21</v>
      </c>
      <c r="G799">
        <v>5592594</v>
      </c>
      <c r="H799" t="s">
        <v>1388</v>
      </c>
    </row>
    <row r="800" spans="1:8" x14ac:dyDescent="0.25">
      <c r="A800" t="s">
        <v>1347</v>
      </c>
      <c r="B800" t="s">
        <v>695</v>
      </c>
      <c r="C800" t="s">
        <v>696</v>
      </c>
      <c r="D800" t="s">
        <v>19</v>
      </c>
      <c r="E800">
        <v>242808.66</v>
      </c>
      <c r="F800">
        <v>38</v>
      </c>
      <c r="G800">
        <v>9226729.0800000001</v>
      </c>
      <c r="H800" t="s">
        <v>1388</v>
      </c>
    </row>
    <row r="801" spans="1:8" x14ac:dyDescent="0.25">
      <c r="A801" t="s">
        <v>1347</v>
      </c>
      <c r="B801" t="s">
        <v>545</v>
      </c>
      <c r="C801" t="s">
        <v>546</v>
      </c>
      <c r="D801" t="s">
        <v>19</v>
      </c>
      <c r="E801">
        <v>147493.49</v>
      </c>
      <c r="F801">
        <v>59</v>
      </c>
      <c r="G801">
        <v>8702115.9100000001</v>
      </c>
      <c r="H801" t="s">
        <v>1388</v>
      </c>
    </row>
    <row r="802" spans="1:8" x14ac:dyDescent="0.25">
      <c r="A802" t="s">
        <v>1347</v>
      </c>
      <c r="B802" t="s">
        <v>397</v>
      </c>
      <c r="C802" t="s">
        <v>398</v>
      </c>
      <c r="D802" t="s">
        <v>26</v>
      </c>
      <c r="E802">
        <v>1056868.74</v>
      </c>
      <c r="F802">
        <v>1</v>
      </c>
      <c r="G802">
        <v>1056868.74</v>
      </c>
      <c r="H802" t="s">
        <v>1388</v>
      </c>
    </row>
    <row r="803" spans="1:8" x14ac:dyDescent="0.25">
      <c r="A803" t="s">
        <v>1445</v>
      </c>
      <c r="B803" t="s">
        <v>85</v>
      </c>
      <c r="C803" t="s">
        <v>86</v>
      </c>
      <c r="D803" t="s">
        <v>26</v>
      </c>
      <c r="E803">
        <v>3557830.08</v>
      </c>
      <c r="F803">
        <v>26</v>
      </c>
      <c r="G803">
        <v>92503582.079999998</v>
      </c>
      <c r="H803" t="s">
        <v>1388</v>
      </c>
    </row>
    <row r="804" spans="1:8" x14ac:dyDescent="0.25">
      <c r="A804" t="s">
        <v>1348</v>
      </c>
      <c r="B804" t="s">
        <v>347</v>
      </c>
      <c r="C804" t="s">
        <v>348</v>
      </c>
      <c r="D804" t="s">
        <v>26</v>
      </c>
      <c r="E804">
        <v>3708410.11</v>
      </c>
      <c r="F804">
        <v>14</v>
      </c>
      <c r="G804">
        <v>51917741.539999999</v>
      </c>
      <c r="H804" t="s">
        <v>1388</v>
      </c>
    </row>
    <row r="805" spans="1:8" x14ac:dyDescent="0.25">
      <c r="A805" t="s">
        <v>1349</v>
      </c>
      <c r="B805" t="s">
        <v>743</v>
      </c>
      <c r="C805" t="s">
        <v>744</v>
      </c>
      <c r="D805" t="s">
        <v>14</v>
      </c>
      <c r="E805">
        <v>858463.05</v>
      </c>
      <c r="F805">
        <v>8</v>
      </c>
      <c r="G805">
        <v>6867704.4000000004</v>
      </c>
      <c r="H805" t="s">
        <v>1388</v>
      </c>
    </row>
    <row r="806" spans="1:8" x14ac:dyDescent="0.25">
      <c r="A806" t="s">
        <v>1349</v>
      </c>
      <c r="B806" t="s">
        <v>857</v>
      </c>
      <c r="C806" t="s">
        <v>858</v>
      </c>
      <c r="D806" t="s">
        <v>10</v>
      </c>
      <c r="E806">
        <v>580218.68999999994</v>
      </c>
      <c r="F806">
        <v>53</v>
      </c>
      <c r="G806">
        <v>30751590.57</v>
      </c>
      <c r="H806" t="s">
        <v>1388</v>
      </c>
    </row>
    <row r="807" spans="1:8" x14ac:dyDescent="0.25">
      <c r="A807" t="s">
        <v>1350</v>
      </c>
      <c r="B807" t="s">
        <v>519</v>
      </c>
      <c r="C807" t="s">
        <v>520</v>
      </c>
      <c r="D807" t="s">
        <v>10</v>
      </c>
      <c r="E807">
        <v>317651.03999999998</v>
      </c>
      <c r="F807">
        <v>25</v>
      </c>
      <c r="G807">
        <v>7941276</v>
      </c>
      <c r="H807" t="s">
        <v>1388</v>
      </c>
    </row>
    <row r="808" spans="1:8" x14ac:dyDescent="0.25">
      <c r="A808" t="s">
        <v>1350</v>
      </c>
      <c r="B808" t="s">
        <v>251</v>
      </c>
      <c r="C808" t="s">
        <v>252</v>
      </c>
      <c r="D808" t="s">
        <v>14</v>
      </c>
      <c r="E808">
        <v>407437.19</v>
      </c>
      <c r="F808">
        <v>3</v>
      </c>
      <c r="G808">
        <v>1222311.57</v>
      </c>
      <c r="H808" t="s">
        <v>1388</v>
      </c>
    </row>
    <row r="809" spans="1:8" x14ac:dyDescent="0.25">
      <c r="A809" t="s">
        <v>1351</v>
      </c>
      <c r="B809" t="s">
        <v>291</v>
      </c>
      <c r="C809" t="s">
        <v>292</v>
      </c>
      <c r="D809" t="s">
        <v>26</v>
      </c>
      <c r="E809">
        <v>1950227.15</v>
      </c>
      <c r="F809">
        <v>49</v>
      </c>
      <c r="G809">
        <v>95561130.349999994</v>
      </c>
      <c r="H809" t="s">
        <v>1388</v>
      </c>
    </row>
    <row r="810" spans="1:8" x14ac:dyDescent="0.25">
      <c r="A810" t="s">
        <v>1351</v>
      </c>
      <c r="B810" t="s">
        <v>853</v>
      </c>
      <c r="C810" t="s">
        <v>854</v>
      </c>
      <c r="D810" t="s">
        <v>14</v>
      </c>
      <c r="E810">
        <v>331846.84000000003</v>
      </c>
      <c r="F810">
        <v>44</v>
      </c>
      <c r="G810">
        <v>14601260.960000001</v>
      </c>
      <c r="H810" t="s">
        <v>1388</v>
      </c>
    </row>
    <row r="811" spans="1:8" x14ac:dyDescent="0.25">
      <c r="A811" t="s">
        <v>1352</v>
      </c>
      <c r="B811" t="s">
        <v>201</v>
      </c>
      <c r="C811" t="s">
        <v>202</v>
      </c>
      <c r="D811" t="s">
        <v>14</v>
      </c>
      <c r="E811">
        <v>770823.8</v>
      </c>
      <c r="F811">
        <v>64</v>
      </c>
      <c r="G811">
        <v>49332723.200000003</v>
      </c>
      <c r="H811" t="s">
        <v>1388</v>
      </c>
    </row>
    <row r="812" spans="1:8" x14ac:dyDescent="0.25">
      <c r="A812" t="s">
        <v>1352</v>
      </c>
      <c r="B812" t="s">
        <v>815</v>
      </c>
      <c r="C812" t="s">
        <v>816</v>
      </c>
      <c r="D812" t="s">
        <v>10</v>
      </c>
      <c r="E812">
        <v>1460913.03</v>
      </c>
      <c r="F812">
        <v>28</v>
      </c>
      <c r="G812">
        <v>40905564.840000004</v>
      </c>
      <c r="H812" t="s">
        <v>1388</v>
      </c>
    </row>
    <row r="813" spans="1:8" x14ac:dyDescent="0.25">
      <c r="A813" t="s">
        <v>1353</v>
      </c>
      <c r="B813" t="s">
        <v>893</v>
      </c>
      <c r="C813" t="s">
        <v>894</v>
      </c>
      <c r="D813" t="s">
        <v>19</v>
      </c>
      <c r="E813">
        <v>341466.47</v>
      </c>
      <c r="F813">
        <v>29</v>
      </c>
      <c r="G813">
        <v>9902527.6300000008</v>
      </c>
      <c r="H813" t="s">
        <v>1388</v>
      </c>
    </row>
    <row r="814" spans="1:8" x14ac:dyDescent="0.25">
      <c r="A814" t="s">
        <v>1353</v>
      </c>
      <c r="B814" t="s">
        <v>27</v>
      </c>
      <c r="C814" t="s">
        <v>28</v>
      </c>
      <c r="D814" t="s">
        <v>14</v>
      </c>
      <c r="E814">
        <v>711474.09</v>
      </c>
      <c r="F814">
        <v>40</v>
      </c>
      <c r="G814">
        <v>28458963.600000001</v>
      </c>
      <c r="H814" t="s">
        <v>1388</v>
      </c>
    </row>
    <row r="815" spans="1:8" x14ac:dyDescent="0.25">
      <c r="A815" t="s">
        <v>1353</v>
      </c>
      <c r="B815" t="s">
        <v>491</v>
      </c>
      <c r="C815" t="s">
        <v>492</v>
      </c>
      <c r="D815" t="s">
        <v>26</v>
      </c>
      <c r="E815">
        <v>978934.12</v>
      </c>
      <c r="F815">
        <v>27</v>
      </c>
      <c r="G815">
        <v>26431221.239999998</v>
      </c>
      <c r="H815" t="s">
        <v>1388</v>
      </c>
    </row>
    <row r="816" spans="1:8" x14ac:dyDescent="0.25">
      <c r="A816" t="s">
        <v>1446</v>
      </c>
      <c r="B816" t="s">
        <v>333</v>
      </c>
      <c r="C816" t="s">
        <v>334</v>
      </c>
      <c r="D816" t="s">
        <v>26</v>
      </c>
      <c r="E816">
        <v>2120666.85</v>
      </c>
      <c r="F816">
        <v>17</v>
      </c>
      <c r="G816">
        <v>36051336.450000003</v>
      </c>
      <c r="H816" t="s">
        <v>1388</v>
      </c>
    </row>
    <row r="817" spans="1:8" x14ac:dyDescent="0.25">
      <c r="A817" t="s">
        <v>1354</v>
      </c>
      <c r="B817" t="s">
        <v>875</v>
      </c>
      <c r="C817" t="s">
        <v>876</v>
      </c>
      <c r="D817" t="s">
        <v>19</v>
      </c>
      <c r="E817">
        <v>913718.46</v>
      </c>
      <c r="F817">
        <v>68</v>
      </c>
      <c r="G817">
        <v>62132855.280000001</v>
      </c>
      <c r="H817" t="s">
        <v>1388</v>
      </c>
    </row>
    <row r="818" spans="1:8" x14ac:dyDescent="0.25">
      <c r="A818" t="s">
        <v>1354</v>
      </c>
      <c r="B818" t="s">
        <v>945</v>
      </c>
      <c r="C818" t="s">
        <v>946</v>
      </c>
      <c r="D818" t="s">
        <v>10</v>
      </c>
      <c r="E818">
        <v>572873.19999999995</v>
      </c>
      <c r="F818">
        <v>54</v>
      </c>
      <c r="G818">
        <v>30935152.800000001</v>
      </c>
      <c r="H818" t="s">
        <v>1388</v>
      </c>
    </row>
    <row r="819" spans="1:8" x14ac:dyDescent="0.25">
      <c r="A819" t="s">
        <v>1447</v>
      </c>
      <c r="B819" t="s">
        <v>347</v>
      </c>
      <c r="C819" t="s">
        <v>348</v>
      </c>
      <c r="D819" t="s">
        <v>26</v>
      </c>
      <c r="E819">
        <v>3583442.29</v>
      </c>
      <c r="F819">
        <v>60</v>
      </c>
      <c r="G819">
        <v>215006537.40000001</v>
      </c>
      <c r="H819" t="s">
        <v>1388</v>
      </c>
    </row>
    <row r="820" spans="1:8" x14ac:dyDescent="0.25">
      <c r="A820" t="s">
        <v>1355</v>
      </c>
      <c r="B820" t="s">
        <v>217</v>
      </c>
      <c r="C820" t="s">
        <v>218</v>
      </c>
      <c r="D820" t="s">
        <v>26</v>
      </c>
      <c r="E820">
        <v>1409385.19</v>
      </c>
      <c r="F820">
        <v>28</v>
      </c>
      <c r="G820">
        <v>39462785.32</v>
      </c>
      <c r="H820" t="s">
        <v>1388</v>
      </c>
    </row>
    <row r="821" spans="1:8" x14ac:dyDescent="0.25">
      <c r="A821" t="s">
        <v>1355</v>
      </c>
      <c r="B821" t="s">
        <v>907</v>
      </c>
      <c r="C821" t="s">
        <v>908</v>
      </c>
      <c r="D821" t="s">
        <v>19</v>
      </c>
      <c r="E821">
        <v>540430.21</v>
      </c>
      <c r="F821">
        <v>44</v>
      </c>
      <c r="G821">
        <v>23778929.239999998</v>
      </c>
      <c r="H821" t="s">
        <v>1388</v>
      </c>
    </row>
    <row r="822" spans="1:8" x14ac:dyDescent="0.25">
      <c r="A822" t="s">
        <v>1355</v>
      </c>
      <c r="B822" t="s">
        <v>929</v>
      </c>
      <c r="C822" t="s">
        <v>930</v>
      </c>
      <c r="D822" t="s">
        <v>10</v>
      </c>
      <c r="E822">
        <v>1346941.55</v>
      </c>
      <c r="F822">
        <v>63</v>
      </c>
      <c r="G822">
        <v>84857317.650000006</v>
      </c>
      <c r="H822" t="s">
        <v>1388</v>
      </c>
    </row>
    <row r="823" spans="1:8" x14ac:dyDescent="0.25">
      <c r="A823" t="s">
        <v>1356</v>
      </c>
      <c r="B823" t="s">
        <v>613</v>
      </c>
      <c r="C823" t="s">
        <v>614</v>
      </c>
      <c r="D823" t="s">
        <v>10</v>
      </c>
      <c r="E823">
        <v>458214.71</v>
      </c>
      <c r="F823">
        <v>13</v>
      </c>
      <c r="G823">
        <v>5956791.2300000004</v>
      </c>
      <c r="H823" t="s">
        <v>1388</v>
      </c>
    </row>
    <row r="824" spans="1:8" x14ac:dyDescent="0.25">
      <c r="A824" t="s">
        <v>1357</v>
      </c>
      <c r="B824" t="s">
        <v>569</v>
      </c>
      <c r="C824" t="s">
        <v>570</v>
      </c>
      <c r="D824" t="s">
        <v>26</v>
      </c>
      <c r="E824">
        <v>3644851.69</v>
      </c>
      <c r="F824">
        <v>67</v>
      </c>
      <c r="G824">
        <v>244205063.22999999</v>
      </c>
      <c r="H824" t="s">
        <v>1388</v>
      </c>
    </row>
    <row r="825" spans="1:8" x14ac:dyDescent="0.25">
      <c r="A825" t="s">
        <v>1357</v>
      </c>
      <c r="B825" t="s">
        <v>921</v>
      </c>
      <c r="C825" t="s">
        <v>922</v>
      </c>
      <c r="D825" t="s">
        <v>19</v>
      </c>
      <c r="E825">
        <v>1352210.93</v>
      </c>
      <c r="F825">
        <v>68</v>
      </c>
      <c r="G825">
        <v>91950343.239999995</v>
      </c>
      <c r="H825" t="s">
        <v>1388</v>
      </c>
    </row>
    <row r="826" spans="1:8" x14ac:dyDescent="0.25">
      <c r="A826" t="s">
        <v>1358</v>
      </c>
      <c r="B826" t="s">
        <v>87</v>
      </c>
      <c r="C826" t="s">
        <v>88</v>
      </c>
      <c r="D826" t="s">
        <v>26</v>
      </c>
      <c r="E826">
        <v>4227424.84</v>
      </c>
      <c r="F826">
        <v>48</v>
      </c>
      <c r="G826">
        <v>202916392.31999999</v>
      </c>
      <c r="H826" t="s">
        <v>1388</v>
      </c>
    </row>
    <row r="827" spans="1:8" x14ac:dyDescent="0.25">
      <c r="A827" t="s">
        <v>1358</v>
      </c>
      <c r="B827" t="s">
        <v>573</v>
      </c>
      <c r="C827" t="s">
        <v>574</v>
      </c>
      <c r="D827" t="s">
        <v>19</v>
      </c>
      <c r="E827">
        <v>1458222.01</v>
      </c>
      <c r="F827">
        <v>20</v>
      </c>
      <c r="G827">
        <v>29164440.199999999</v>
      </c>
      <c r="H827" t="s">
        <v>1388</v>
      </c>
    </row>
    <row r="828" spans="1:8" x14ac:dyDescent="0.25">
      <c r="A828" t="s">
        <v>1359</v>
      </c>
      <c r="B828" t="s">
        <v>79</v>
      </c>
      <c r="C828" t="s">
        <v>80</v>
      </c>
      <c r="D828" t="s">
        <v>14</v>
      </c>
      <c r="E828">
        <v>249967.6</v>
      </c>
      <c r="F828">
        <v>29</v>
      </c>
      <c r="G828">
        <v>7249060.4000000004</v>
      </c>
      <c r="H828" t="s">
        <v>1388</v>
      </c>
    </row>
    <row r="829" spans="1:8" x14ac:dyDescent="0.25">
      <c r="A829" t="s">
        <v>1359</v>
      </c>
      <c r="B829" t="s">
        <v>479</v>
      </c>
      <c r="C829" t="s">
        <v>480</v>
      </c>
      <c r="D829" t="s">
        <v>26</v>
      </c>
      <c r="E829">
        <v>3636563.73</v>
      </c>
      <c r="F829">
        <v>14</v>
      </c>
      <c r="G829">
        <v>50911892.219999999</v>
      </c>
      <c r="H829" t="s">
        <v>1388</v>
      </c>
    </row>
    <row r="830" spans="1:8" x14ac:dyDescent="0.25">
      <c r="A830" t="s">
        <v>1359</v>
      </c>
      <c r="B830" t="s">
        <v>937</v>
      </c>
      <c r="C830" t="s">
        <v>938</v>
      </c>
      <c r="D830" t="s">
        <v>14</v>
      </c>
      <c r="E830">
        <v>613778.78</v>
      </c>
      <c r="F830">
        <v>32</v>
      </c>
      <c r="G830">
        <v>19640920.960000001</v>
      </c>
      <c r="H830" t="s">
        <v>1388</v>
      </c>
    </row>
    <row r="831" spans="1:8" x14ac:dyDescent="0.25">
      <c r="A831" t="s">
        <v>1359</v>
      </c>
      <c r="B831" t="s">
        <v>939</v>
      </c>
      <c r="C831" t="s">
        <v>940</v>
      </c>
      <c r="D831" t="s">
        <v>26</v>
      </c>
      <c r="E831">
        <v>3433264.99</v>
      </c>
      <c r="F831">
        <v>78</v>
      </c>
      <c r="G831">
        <v>267794669.22</v>
      </c>
      <c r="H831" t="s">
        <v>1388</v>
      </c>
    </row>
    <row r="832" spans="1:8" x14ac:dyDescent="0.25">
      <c r="A832" t="s">
        <v>1360</v>
      </c>
      <c r="B832" t="s">
        <v>187</v>
      </c>
      <c r="C832" t="s">
        <v>188</v>
      </c>
      <c r="D832" t="s">
        <v>19</v>
      </c>
      <c r="E832">
        <v>655175.61</v>
      </c>
      <c r="F832">
        <v>12</v>
      </c>
      <c r="G832">
        <v>7862107.3200000003</v>
      </c>
      <c r="H832" t="s">
        <v>1388</v>
      </c>
    </row>
    <row r="833" spans="1:8" x14ac:dyDescent="0.25">
      <c r="A833" t="s">
        <v>1360</v>
      </c>
      <c r="B833" t="s">
        <v>991</v>
      </c>
      <c r="C833" t="s">
        <v>992</v>
      </c>
      <c r="D833" t="s">
        <v>10</v>
      </c>
      <c r="E833">
        <v>97109.48</v>
      </c>
      <c r="F833">
        <v>43</v>
      </c>
      <c r="G833">
        <v>4175707.64</v>
      </c>
      <c r="H833" t="s">
        <v>1388</v>
      </c>
    </row>
    <row r="834" spans="1:8" x14ac:dyDescent="0.25">
      <c r="A834" t="s">
        <v>1360</v>
      </c>
      <c r="B834" t="s">
        <v>773</v>
      </c>
      <c r="C834" t="s">
        <v>774</v>
      </c>
      <c r="D834" t="s">
        <v>14</v>
      </c>
      <c r="E834">
        <v>742450.11</v>
      </c>
      <c r="F834">
        <v>62</v>
      </c>
      <c r="G834">
        <v>46031906.82</v>
      </c>
      <c r="H834" t="s">
        <v>1388</v>
      </c>
    </row>
    <row r="835" spans="1:8" x14ac:dyDescent="0.25">
      <c r="A835" t="s">
        <v>1360</v>
      </c>
      <c r="B835" t="s">
        <v>505</v>
      </c>
      <c r="C835" t="s">
        <v>506</v>
      </c>
      <c r="D835" t="s">
        <v>14</v>
      </c>
      <c r="E835">
        <v>997851.51</v>
      </c>
      <c r="F835">
        <v>45</v>
      </c>
      <c r="G835">
        <v>44903317.950000003</v>
      </c>
      <c r="H835" t="s">
        <v>1388</v>
      </c>
    </row>
    <row r="836" spans="1:8" x14ac:dyDescent="0.25">
      <c r="A836" t="s">
        <v>1448</v>
      </c>
      <c r="B836" t="s">
        <v>825</v>
      </c>
      <c r="C836" t="s">
        <v>826</v>
      </c>
      <c r="D836" t="s">
        <v>19</v>
      </c>
      <c r="E836">
        <v>2000645.68</v>
      </c>
      <c r="F836">
        <v>78</v>
      </c>
      <c r="G836">
        <v>156050363.03999999</v>
      </c>
      <c r="H836" t="s">
        <v>1388</v>
      </c>
    </row>
    <row r="837" spans="1:8" x14ac:dyDescent="0.25">
      <c r="A837" t="s">
        <v>1361</v>
      </c>
      <c r="B837" t="s">
        <v>47</v>
      </c>
      <c r="C837" t="s">
        <v>48</v>
      </c>
      <c r="D837" t="s">
        <v>14</v>
      </c>
      <c r="E837">
        <v>69639.45</v>
      </c>
      <c r="F837">
        <v>23</v>
      </c>
      <c r="G837">
        <v>1601707.35</v>
      </c>
      <c r="H837" t="s">
        <v>1388</v>
      </c>
    </row>
    <row r="838" spans="1:8" x14ac:dyDescent="0.25">
      <c r="A838" t="s">
        <v>1361</v>
      </c>
      <c r="B838" t="s">
        <v>613</v>
      </c>
      <c r="C838" t="s">
        <v>614</v>
      </c>
      <c r="D838" t="s">
        <v>10</v>
      </c>
      <c r="E838">
        <v>476658.58</v>
      </c>
      <c r="F838">
        <v>57</v>
      </c>
      <c r="G838">
        <v>27169539.059999999</v>
      </c>
      <c r="H838" t="s">
        <v>1388</v>
      </c>
    </row>
    <row r="839" spans="1:8" x14ac:dyDescent="0.25">
      <c r="A839" t="s">
        <v>1361</v>
      </c>
      <c r="B839" t="s">
        <v>443</v>
      </c>
      <c r="C839" t="s">
        <v>444</v>
      </c>
      <c r="D839" t="s">
        <v>10</v>
      </c>
      <c r="E839">
        <v>1596975.26</v>
      </c>
      <c r="F839">
        <v>15</v>
      </c>
      <c r="G839">
        <v>23954628.899999999</v>
      </c>
      <c r="H839" t="s">
        <v>1388</v>
      </c>
    </row>
    <row r="840" spans="1:8" x14ac:dyDescent="0.25">
      <c r="A840" t="s">
        <v>1361</v>
      </c>
      <c r="B840" t="s">
        <v>863</v>
      </c>
      <c r="C840" t="s">
        <v>864</v>
      </c>
      <c r="D840" t="s">
        <v>14</v>
      </c>
      <c r="E840">
        <v>419794.2</v>
      </c>
      <c r="F840">
        <v>50</v>
      </c>
      <c r="G840">
        <v>20989710</v>
      </c>
      <c r="H840" t="s">
        <v>1388</v>
      </c>
    </row>
    <row r="841" spans="1:8" x14ac:dyDescent="0.25">
      <c r="A841" t="s">
        <v>1362</v>
      </c>
      <c r="B841" t="s">
        <v>975</v>
      </c>
      <c r="C841" t="s">
        <v>976</v>
      </c>
      <c r="D841" t="s">
        <v>10</v>
      </c>
      <c r="E841">
        <v>689552.19</v>
      </c>
      <c r="F841">
        <v>36</v>
      </c>
      <c r="G841">
        <v>24823878.84</v>
      </c>
      <c r="H841" t="s">
        <v>1388</v>
      </c>
    </row>
    <row r="842" spans="1:8" x14ac:dyDescent="0.25">
      <c r="A842" t="s">
        <v>1362</v>
      </c>
      <c r="B842" t="s">
        <v>875</v>
      </c>
      <c r="C842" t="s">
        <v>876</v>
      </c>
      <c r="D842" t="s">
        <v>19</v>
      </c>
      <c r="E842">
        <v>832143.71</v>
      </c>
      <c r="F842">
        <v>28</v>
      </c>
      <c r="G842">
        <v>23300023.879999999</v>
      </c>
      <c r="H842" t="s">
        <v>1388</v>
      </c>
    </row>
    <row r="843" spans="1:8" x14ac:dyDescent="0.25">
      <c r="A843" t="s">
        <v>1362</v>
      </c>
      <c r="B843" t="s">
        <v>693</v>
      </c>
      <c r="C843" t="s">
        <v>694</v>
      </c>
      <c r="D843" t="s">
        <v>14</v>
      </c>
      <c r="E843">
        <v>197160.18</v>
      </c>
      <c r="F843">
        <v>37</v>
      </c>
      <c r="G843">
        <v>7294926.6600000001</v>
      </c>
      <c r="H843" t="s">
        <v>1388</v>
      </c>
    </row>
    <row r="844" spans="1:8" x14ac:dyDescent="0.25">
      <c r="A844" t="s">
        <v>1362</v>
      </c>
      <c r="B844" t="s">
        <v>125</v>
      </c>
      <c r="C844" t="s">
        <v>126</v>
      </c>
      <c r="D844" t="s">
        <v>14</v>
      </c>
      <c r="E844">
        <v>388759.59</v>
      </c>
      <c r="F844">
        <v>59</v>
      </c>
      <c r="G844">
        <v>22936815.809999999</v>
      </c>
      <c r="H844" t="s">
        <v>1388</v>
      </c>
    </row>
    <row r="845" spans="1:8" x14ac:dyDescent="0.25">
      <c r="A845" t="s">
        <v>1363</v>
      </c>
      <c r="B845" t="s">
        <v>869</v>
      </c>
      <c r="C845" t="s">
        <v>870</v>
      </c>
      <c r="D845" t="s">
        <v>19</v>
      </c>
      <c r="E845">
        <v>1022201.69</v>
      </c>
      <c r="F845">
        <v>53</v>
      </c>
      <c r="G845">
        <v>54176689.57</v>
      </c>
      <c r="H845" t="s">
        <v>1388</v>
      </c>
    </row>
    <row r="846" spans="1:8" x14ac:dyDescent="0.25">
      <c r="A846" t="s">
        <v>1363</v>
      </c>
      <c r="B846" t="s">
        <v>679</v>
      </c>
      <c r="C846" t="s">
        <v>680</v>
      </c>
      <c r="D846" t="s">
        <v>19</v>
      </c>
      <c r="E846">
        <v>1727930.7</v>
      </c>
      <c r="F846">
        <v>78</v>
      </c>
      <c r="G846">
        <v>134778594.59999999</v>
      </c>
      <c r="H846" t="s">
        <v>1388</v>
      </c>
    </row>
    <row r="847" spans="1:8" x14ac:dyDescent="0.25">
      <c r="A847" t="s">
        <v>1363</v>
      </c>
      <c r="B847" t="s">
        <v>547</v>
      </c>
      <c r="C847" t="s">
        <v>548</v>
      </c>
      <c r="D847" t="s">
        <v>19</v>
      </c>
      <c r="E847">
        <v>534428.79</v>
      </c>
      <c r="F847">
        <v>18</v>
      </c>
      <c r="G847">
        <v>9619718.2200000007</v>
      </c>
      <c r="H847" t="s">
        <v>1388</v>
      </c>
    </row>
    <row r="848" spans="1:8" x14ac:dyDescent="0.25">
      <c r="A848" t="s">
        <v>1364</v>
      </c>
      <c r="B848" t="s">
        <v>669</v>
      </c>
      <c r="C848" t="s">
        <v>670</v>
      </c>
      <c r="D848" t="s">
        <v>10</v>
      </c>
      <c r="E848">
        <v>89556.97</v>
      </c>
      <c r="F848">
        <v>57</v>
      </c>
      <c r="G848">
        <v>5104747.29</v>
      </c>
      <c r="H848" t="s">
        <v>1388</v>
      </c>
    </row>
    <row r="849" spans="1:8" x14ac:dyDescent="0.25">
      <c r="A849" t="s">
        <v>1364</v>
      </c>
      <c r="B849" t="s">
        <v>365</v>
      </c>
      <c r="C849" t="s">
        <v>366</v>
      </c>
      <c r="D849" t="s">
        <v>10</v>
      </c>
      <c r="E849">
        <v>89001.35</v>
      </c>
      <c r="F849">
        <v>46</v>
      </c>
      <c r="G849">
        <v>4094062.1</v>
      </c>
      <c r="H849" t="s">
        <v>1388</v>
      </c>
    </row>
    <row r="850" spans="1:8" x14ac:dyDescent="0.25">
      <c r="A850" t="s">
        <v>1365</v>
      </c>
      <c r="B850" t="s">
        <v>239</v>
      </c>
      <c r="C850" t="s">
        <v>240</v>
      </c>
      <c r="D850" t="s">
        <v>10</v>
      </c>
      <c r="E850">
        <v>865136</v>
      </c>
      <c r="F850">
        <v>75</v>
      </c>
      <c r="G850">
        <v>64885200</v>
      </c>
      <c r="H850" t="s">
        <v>1388</v>
      </c>
    </row>
    <row r="851" spans="1:8" x14ac:dyDescent="0.25">
      <c r="A851" t="s">
        <v>1365</v>
      </c>
      <c r="B851" t="s">
        <v>279</v>
      </c>
      <c r="C851" t="s">
        <v>280</v>
      </c>
      <c r="D851" t="s">
        <v>19</v>
      </c>
      <c r="E851">
        <v>2064393.33</v>
      </c>
      <c r="F851">
        <v>75</v>
      </c>
      <c r="G851">
        <v>154829499.75</v>
      </c>
      <c r="H851" t="s">
        <v>1388</v>
      </c>
    </row>
    <row r="852" spans="1:8" x14ac:dyDescent="0.25">
      <c r="A852" t="s">
        <v>1365</v>
      </c>
      <c r="B852" t="s">
        <v>245</v>
      </c>
      <c r="C852" t="s">
        <v>246</v>
      </c>
      <c r="D852" t="s">
        <v>10</v>
      </c>
      <c r="E852">
        <v>963862.42</v>
      </c>
      <c r="F852">
        <v>77</v>
      </c>
      <c r="G852">
        <v>74217406.340000004</v>
      </c>
      <c r="H852" t="s">
        <v>1388</v>
      </c>
    </row>
    <row r="853" spans="1:8" x14ac:dyDescent="0.25">
      <c r="A853" t="s">
        <v>1365</v>
      </c>
      <c r="B853" t="s">
        <v>311</v>
      </c>
      <c r="C853" t="s">
        <v>312</v>
      </c>
      <c r="D853" t="s">
        <v>26</v>
      </c>
      <c r="E853">
        <v>1876842.29</v>
      </c>
      <c r="F853">
        <v>49</v>
      </c>
      <c r="G853">
        <v>91965272.209999993</v>
      </c>
      <c r="H853" t="s">
        <v>1388</v>
      </c>
    </row>
    <row r="854" spans="1:8" x14ac:dyDescent="0.25">
      <c r="A854" t="s">
        <v>1365</v>
      </c>
      <c r="B854" t="s">
        <v>741</v>
      </c>
      <c r="C854" t="s">
        <v>742</v>
      </c>
      <c r="D854" t="s">
        <v>19</v>
      </c>
      <c r="E854">
        <v>879714.59</v>
      </c>
      <c r="F854">
        <v>74</v>
      </c>
      <c r="G854">
        <v>65098879.659999996</v>
      </c>
      <c r="H854" t="s">
        <v>1388</v>
      </c>
    </row>
    <row r="855" spans="1:8" x14ac:dyDescent="0.25">
      <c r="A855" t="s">
        <v>1366</v>
      </c>
      <c r="B855" t="s">
        <v>709</v>
      </c>
      <c r="C855" t="s">
        <v>710</v>
      </c>
      <c r="D855" t="s">
        <v>10</v>
      </c>
      <c r="E855">
        <v>1531650.92</v>
      </c>
      <c r="F855">
        <v>13</v>
      </c>
      <c r="G855">
        <v>19911461.960000001</v>
      </c>
      <c r="H855" t="s">
        <v>1388</v>
      </c>
    </row>
    <row r="856" spans="1:8" x14ac:dyDescent="0.25">
      <c r="A856" t="s">
        <v>1366</v>
      </c>
      <c r="B856" t="s">
        <v>687</v>
      </c>
      <c r="C856" t="s">
        <v>688</v>
      </c>
      <c r="D856" t="s">
        <v>19</v>
      </c>
      <c r="E856">
        <v>1827609.2</v>
      </c>
      <c r="F856">
        <v>60</v>
      </c>
      <c r="G856">
        <v>109656552</v>
      </c>
      <c r="H856" t="s">
        <v>1388</v>
      </c>
    </row>
    <row r="857" spans="1:8" x14ac:dyDescent="0.25">
      <c r="A857" t="s">
        <v>1366</v>
      </c>
      <c r="B857" t="s">
        <v>655</v>
      </c>
      <c r="C857" t="s">
        <v>656</v>
      </c>
      <c r="D857" t="s">
        <v>19</v>
      </c>
      <c r="E857">
        <v>814160.45</v>
      </c>
      <c r="F857">
        <v>44</v>
      </c>
      <c r="G857">
        <v>35823059.799999997</v>
      </c>
      <c r="H857" t="s">
        <v>1388</v>
      </c>
    </row>
    <row r="858" spans="1:8" x14ac:dyDescent="0.25">
      <c r="A858" t="s">
        <v>1367</v>
      </c>
      <c r="B858" t="s">
        <v>769</v>
      </c>
      <c r="C858" t="s">
        <v>770</v>
      </c>
      <c r="D858" t="s">
        <v>10</v>
      </c>
      <c r="E858">
        <v>951102.54</v>
      </c>
      <c r="F858">
        <v>16</v>
      </c>
      <c r="G858">
        <v>15217640.640000001</v>
      </c>
      <c r="H858" t="s">
        <v>1388</v>
      </c>
    </row>
    <row r="859" spans="1:8" x14ac:dyDescent="0.25">
      <c r="A859" t="s">
        <v>1367</v>
      </c>
      <c r="B859" t="s">
        <v>867</v>
      </c>
      <c r="C859" t="s">
        <v>868</v>
      </c>
      <c r="D859" t="s">
        <v>10</v>
      </c>
      <c r="E859">
        <v>1418702.49</v>
      </c>
      <c r="F859">
        <v>62</v>
      </c>
      <c r="G859">
        <v>87959554.379999995</v>
      </c>
      <c r="H859" t="s">
        <v>1388</v>
      </c>
    </row>
    <row r="860" spans="1:8" x14ac:dyDescent="0.25">
      <c r="A860" t="s">
        <v>1367</v>
      </c>
      <c r="B860" t="s">
        <v>279</v>
      </c>
      <c r="C860" t="s">
        <v>280</v>
      </c>
      <c r="D860" t="s">
        <v>19</v>
      </c>
      <c r="E860">
        <v>2058394.51</v>
      </c>
      <c r="F860">
        <v>38</v>
      </c>
      <c r="G860">
        <v>78218991.379999995</v>
      </c>
      <c r="H860" t="s">
        <v>1388</v>
      </c>
    </row>
    <row r="861" spans="1:8" x14ac:dyDescent="0.25">
      <c r="A861" t="s">
        <v>1367</v>
      </c>
      <c r="B861" t="s">
        <v>705</v>
      </c>
      <c r="C861" t="s">
        <v>706</v>
      </c>
      <c r="D861" t="s">
        <v>10</v>
      </c>
      <c r="E861">
        <v>1612483.76</v>
      </c>
      <c r="F861">
        <v>21</v>
      </c>
      <c r="G861">
        <v>33862158.960000001</v>
      </c>
      <c r="H861" t="s">
        <v>1388</v>
      </c>
    </row>
    <row r="862" spans="1:8" x14ac:dyDescent="0.25">
      <c r="A862" t="s">
        <v>1449</v>
      </c>
      <c r="B862" t="s">
        <v>725</v>
      </c>
      <c r="C862" t="s">
        <v>726</v>
      </c>
      <c r="D862" t="s">
        <v>19</v>
      </c>
      <c r="E862">
        <v>1129166.55</v>
      </c>
      <c r="F862">
        <v>65</v>
      </c>
      <c r="G862">
        <v>73395825.75</v>
      </c>
      <c r="H862" t="s">
        <v>1388</v>
      </c>
    </row>
    <row r="863" spans="1:8" x14ac:dyDescent="0.25">
      <c r="A863" t="s">
        <v>1449</v>
      </c>
      <c r="B863" t="s">
        <v>733</v>
      </c>
      <c r="C863" t="s">
        <v>734</v>
      </c>
      <c r="D863" t="s">
        <v>14</v>
      </c>
      <c r="E863">
        <v>370985.14</v>
      </c>
      <c r="F863">
        <v>55</v>
      </c>
      <c r="G863">
        <v>20404182.699999999</v>
      </c>
      <c r="H863" t="s">
        <v>1388</v>
      </c>
    </row>
    <row r="864" spans="1:8" x14ac:dyDescent="0.25">
      <c r="A864" t="s">
        <v>1369</v>
      </c>
      <c r="B864" t="s">
        <v>859</v>
      </c>
      <c r="C864" t="s">
        <v>860</v>
      </c>
      <c r="D864" t="s">
        <v>19</v>
      </c>
      <c r="E864">
        <v>1086570.6000000001</v>
      </c>
      <c r="F864">
        <v>42</v>
      </c>
      <c r="G864">
        <v>45635965.200000003</v>
      </c>
      <c r="H864" t="s">
        <v>1388</v>
      </c>
    </row>
    <row r="865" spans="1:8" x14ac:dyDescent="0.25">
      <c r="A865" t="s">
        <v>1370</v>
      </c>
      <c r="B865" t="s">
        <v>507</v>
      </c>
      <c r="C865" t="s">
        <v>508</v>
      </c>
      <c r="D865" t="s">
        <v>14</v>
      </c>
      <c r="E865">
        <v>118832.97</v>
      </c>
      <c r="F865">
        <v>76</v>
      </c>
      <c r="G865">
        <v>9031305.7200000007</v>
      </c>
      <c r="H865" t="s">
        <v>1388</v>
      </c>
    </row>
    <row r="866" spans="1:8" x14ac:dyDescent="0.25">
      <c r="A866" t="s">
        <v>1370</v>
      </c>
      <c r="B866" t="s">
        <v>721</v>
      </c>
      <c r="C866" t="s">
        <v>722</v>
      </c>
      <c r="D866" t="s">
        <v>10</v>
      </c>
      <c r="E866">
        <v>840857.97</v>
      </c>
      <c r="F866">
        <v>55</v>
      </c>
      <c r="G866">
        <v>46247188.350000001</v>
      </c>
      <c r="H866" t="s">
        <v>1388</v>
      </c>
    </row>
    <row r="867" spans="1:8" x14ac:dyDescent="0.25">
      <c r="A867" t="s">
        <v>1371</v>
      </c>
      <c r="B867" t="s">
        <v>599</v>
      </c>
      <c r="C867" t="s">
        <v>600</v>
      </c>
      <c r="D867" t="s">
        <v>26</v>
      </c>
      <c r="E867">
        <v>2731322.64</v>
      </c>
      <c r="F867">
        <v>38</v>
      </c>
      <c r="G867">
        <v>103790260.31999999</v>
      </c>
      <c r="H867" t="s">
        <v>1388</v>
      </c>
    </row>
    <row r="868" spans="1:8" x14ac:dyDescent="0.25">
      <c r="A868" t="s">
        <v>1372</v>
      </c>
      <c r="B868" t="s">
        <v>43</v>
      </c>
      <c r="C868" t="s">
        <v>44</v>
      </c>
      <c r="D868" t="s">
        <v>10</v>
      </c>
      <c r="E868">
        <v>1469932.26</v>
      </c>
      <c r="F868">
        <v>56</v>
      </c>
      <c r="G868">
        <v>82316206.560000002</v>
      </c>
      <c r="H868" t="s">
        <v>1388</v>
      </c>
    </row>
    <row r="869" spans="1:8" x14ac:dyDescent="0.25">
      <c r="A869" t="s">
        <v>1372</v>
      </c>
      <c r="B869" t="s">
        <v>401</v>
      </c>
      <c r="C869" t="s">
        <v>402</v>
      </c>
      <c r="D869" t="s">
        <v>19</v>
      </c>
      <c r="E869">
        <v>1175803.78</v>
      </c>
      <c r="F869">
        <v>15</v>
      </c>
      <c r="G869">
        <v>17637056.699999999</v>
      </c>
      <c r="H869" t="s">
        <v>1388</v>
      </c>
    </row>
    <row r="870" spans="1:8" x14ac:dyDescent="0.25">
      <c r="A870" t="s">
        <v>1372</v>
      </c>
      <c r="B870" t="s">
        <v>535</v>
      </c>
      <c r="C870" t="s">
        <v>536</v>
      </c>
      <c r="D870" t="s">
        <v>26</v>
      </c>
      <c r="E870">
        <v>1308420.3500000001</v>
      </c>
      <c r="F870">
        <v>53</v>
      </c>
      <c r="G870">
        <v>69346278.549999997</v>
      </c>
      <c r="H870" t="s">
        <v>1388</v>
      </c>
    </row>
    <row r="871" spans="1:8" x14ac:dyDescent="0.25">
      <c r="A871" t="s">
        <v>1372</v>
      </c>
      <c r="B871" t="s">
        <v>445</v>
      </c>
      <c r="C871" t="s">
        <v>446</v>
      </c>
      <c r="D871" t="s">
        <v>10</v>
      </c>
      <c r="E871">
        <v>1530220.25</v>
      </c>
      <c r="F871">
        <v>2</v>
      </c>
      <c r="G871">
        <v>3060440.5</v>
      </c>
      <c r="H871" t="s">
        <v>1388</v>
      </c>
    </row>
    <row r="872" spans="1:8" x14ac:dyDescent="0.25">
      <c r="A872" t="s">
        <v>1450</v>
      </c>
      <c r="B872" t="s">
        <v>869</v>
      </c>
      <c r="C872" t="s">
        <v>870</v>
      </c>
      <c r="D872" t="s">
        <v>19</v>
      </c>
      <c r="E872">
        <v>1145788.3400000001</v>
      </c>
      <c r="F872">
        <v>37</v>
      </c>
      <c r="G872">
        <v>42394168.579999998</v>
      </c>
      <c r="H872" t="s">
        <v>1388</v>
      </c>
    </row>
    <row r="873" spans="1:8" x14ac:dyDescent="0.25">
      <c r="A873" t="s">
        <v>1450</v>
      </c>
      <c r="B873" t="s">
        <v>171</v>
      </c>
      <c r="C873" t="s">
        <v>172</v>
      </c>
      <c r="D873" t="s">
        <v>14</v>
      </c>
      <c r="E873">
        <v>717365.36</v>
      </c>
      <c r="F873">
        <v>32</v>
      </c>
      <c r="G873">
        <v>22955691.52</v>
      </c>
      <c r="H873" t="s">
        <v>1388</v>
      </c>
    </row>
    <row r="874" spans="1:8" x14ac:dyDescent="0.25">
      <c r="A874" t="s">
        <v>1450</v>
      </c>
      <c r="B874" t="s">
        <v>701</v>
      </c>
      <c r="C874" t="s">
        <v>702</v>
      </c>
      <c r="D874" t="s">
        <v>19</v>
      </c>
      <c r="E874">
        <v>750389.93</v>
      </c>
      <c r="F874">
        <v>8</v>
      </c>
      <c r="G874">
        <v>6003119.4400000004</v>
      </c>
      <c r="H874" t="s">
        <v>1388</v>
      </c>
    </row>
    <row r="875" spans="1:8" x14ac:dyDescent="0.25">
      <c r="A875" t="s">
        <v>1373</v>
      </c>
      <c r="B875" t="s">
        <v>507</v>
      </c>
      <c r="C875" t="s">
        <v>508</v>
      </c>
      <c r="D875" t="s">
        <v>14</v>
      </c>
      <c r="E875">
        <v>107078.29</v>
      </c>
      <c r="F875">
        <v>51</v>
      </c>
      <c r="G875">
        <v>5460992.79</v>
      </c>
      <c r="H875" t="s">
        <v>1388</v>
      </c>
    </row>
    <row r="876" spans="1:8" x14ac:dyDescent="0.25">
      <c r="A876" t="s">
        <v>1373</v>
      </c>
      <c r="B876" t="s">
        <v>221</v>
      </c>
      <c r="C876" t="s">
        <v>222</v>
      </c>
      <c r="D876" t="s">
        <v>26</v>
      </c>
      <c r="E876">
        <v>1938503.07</v>
      </c>
      <c r="F876">
        <v>10</v>
      </c>
      <c r="G876">
        <v>19385030.699999999</v>
      </c>
      <c r="H876" t="s">
        <v>1388</v>
      </c>
    </row>
    <row r="877" spans="1:8" x14ac:dyDescent="0.25">
      <c r="A877" t="s">
        <v>1374</v>
      </c>
      <c r="B877" t="s">
        <v>861</v>
      </c>
      <c r="C877" t="s">
        <v>862</v>
      </c>
      <c r="D877" t="s">
        <v>14</v>
      </c>
      <c r="E877">
        <v>224399.37</v>
      </c>
      <c r="F877">
        <v>73</v>
      </c>
      <c r="G877">
        <v>16381154.01</v>
      </c>
      <c r="H877" t="s">
        <v>1388</v>
      </c>
    </row>
    <row r="878" spans="1:8" x14ac:dyDescent="0.25">
      <c r="A878" t="s">
        <v>1374</v>
      </c>
      <c r="B878" t="s">
        <v>253</v>
      </c>
      <c r="C878" t="s">
        <v>254</v>
      </c>
      <c r="D878" t="s">
        <v>19</v>
      </c>
      <c r="E878">
        <v>1069072.06</v>
      </c>
      <c r="F878">
        <v>6</v>
      </c>
      <c r="G878">
        <v>6414432.3600000003</v>
      </c>
      <c r="H878" t="s">
        <v>1388</v>
      </c>
    </row>
    <row r="879" spans="1:8" x14ac:dyDescent="0.25">
      <c r="A879" t="s">
        <v>1374</v>
      </c>
      <c r="B879" t="s">
        <v>611</v>
      </c>
      <c r="C879" t="s">
        <v>612</v>
      </c>
      <c r="D879" t="s">
        <v>10</v>
      </c>
      <c r="E879">
        <v>1547703.73</v>
      </c>
      <c r="F879">
        <v>16</v>
      </c>
      <c r="G879">
        <v>24763259.68</v>
      </c>
      <c r="H879" t="s">
        <v>1388</v>
      </c>
    </row>
    <row r="880" spans="1:8" x14ac:dyDescent="0.25">
      <c r="A880" t="s">
        <v>1374</v>
      </c>
      <c r="B880" t="s">
        <v>639</v>
      </c>
      <c r="C880" t="s">
        <v>640</v>
      </c>
      <c r="D880" t="s">
        <v>14</v>
      </c>
      <c r="E880">
        <v>248535.77</v>
      </c>
      <c r="F880">
        <v>75</v>
      </c>
      <c r="G880">
        <v>18640182.75</v>
      </c>
      <c r="H880" t="s">
        <v>1388</v>
      </c>
    </row>
    <row r="881" spans="1:8" x14ac:dyDescent="0.25">
      <c r="A881" t="s">
        <v>1374</v>
      </c>
      <c r="B881" t="s">
        <v>453</v>
      </c>
      <c r="C881" t="s">
        <v>454</v>
      </c>
      <c r="D881" t="s">
        <v>19</v>
      </c>
      <c r="E881">
        <v>1499859.42</v>
      </c>
      <c r="F881">
        <v>59</v>
      </c>
      <c r="G881">
        <v>88491705.780000001</v>
      </c>
      <c r="H881" t="s">
        <v>1388</v>
      </c>
    </row>
    <row r="882" spans="1:8" x14ac:dyDescent="0.25">
      <c r="A882" t="s">
        <v>1375</v>
      </c>
      <c r="B882" t="s">
        <v>109</v>
      </c>
      <c r="C882" t="s">
        <v>110</v>
      </c>
      <c r="D882" t="s">
        <v>10</v>
      </c>
      <c r="E882">
        <v>1400904.87</v>
      </c>
      <c r="F882">
        <v>53</v>
      </c>
      <c r="G882">
        <v>74247958.109999999</v>
      </c>
      <c r="H882" t="s">
        <v>1388</v>
      </c>
    </row>
    <row r="883" spans="1:8" x14ac:dyDescent="0.25">
      <c r="A883" t="s">
        <v>1377</v>
      </c>
      <c r="B883" t="s">
        <v>215</v>
      </c>
      <c r="C883" t="s">
        <v>216</v>
      </c>
      <c r="D883" t="s">
        <v>19</v>
      </c>
      <c r="E883">
        <v>1141566.24</v>
      </c>
      <c r="F883">
        <v>8</v>
      </c>
      <c r="G883">
        <v>9132529.9199999999</v>
      </c>
      <c r="H883" t="s">
        <v>1388</v>
      </c>
    </row>
    <row r="884" spans="1:8" x14ac:dyDescent="0.25">
      <c r="A884" t="s">
        <v>1378</v>
      </c>
      <c r="B884" t="s">
        <v>653</v>
      </c>
      <c r="C884" t="s">
        <v>654</v>
      </c>
      <c r="D884" t="s">
        <v>14</v>
      </c>
      <c r="E884">
        <v>1063779.32</v>
      </c>
      <c r="F884">
        <v>74</v>
      </c>
      <c r="G884">
        <v>78719669.680000007</v>
      </c>
      <c r="H884" t="s">
        <v>1388</v>
      </c>
    </row>
    <row r="885" spans="1:8" x14ac:dyDescent="0.25">
      <c r="A885" t="s">
        <v>1378</v>
      </c>
      <c r="B885" t="s">
        <v>853</v>
      </c>
      <c r="C885" t="s">
        <v>854</v>
      </c>
      <c r="D885" t="s">
        <v>14</v>
      </c>
      <c r="E885">
        <v>361040.09</v>
      </c>
      <c r="F885">
        <v>53</v>
      </c>
      <c r="G885">
        <v>19135124.77</v>
      </c>
      <c r="H885" t="s">
        <v>1388</v>
      </c>
    </row>
    <row r="886" spans="1:8" x14ac:dyDescent="0.25">
      <c r="A886" t="s">
        <v>1379</v>
      </c>
      <c r="B886" t="s">
        <v>695</v>
      </c>
      <c r="C886" t="s">
        <v>696</v>
      </c>
      <c r="D886" t="s">
        <v>19</v>
      </c>
      <c r="E886">
        <v>241462.83</v>
      </c>
      <c r="F886">
        <v>79</v>
      </c>
      <c r="G886">
        <v>19075563.57</v>
      </c>
      <c r="H886" t="s">
        <v>1388</v>
      </c>
    </row>
    <row r="887" spans="1:8" x14ac:dyDescent="0.25">
      <c r="A887" t="s">
        <v>1379</v>
      </c>
      <c r="B887" t="s">
        <v>959</v>
      </c>
      <c r="C887" t="s">
        <v>960</v>
      </c>
      <c r="D887" t="s">
        <v>26</v>
      </c>
      <c r="E887">
        <v>3340917.53</v>
      </c>
      <c r="F887">
        <v>35</v>
      </c>
      <c r="G887">
        <v>116932113.55</v>
      </c>
      <c r="H887" t="s">
        <v>1388</v>
      </c>
    </row>
    <row r="888" spans="1:8" x14ac:dyDescent="0.25">
      <c r="A888" t="s">
        <v>1380</v>
      </c>
      <c r="B888" t="s">
        <v>179</v>
      </c>
      <c r="C888" t="s">
        <v>180</v>
      </c>
      <c r="D888" t="s">
        <v>19</v>
      </c>
      <c r="E888">
        <v>2202250.75</v>
      </c>
      <c r="F888">
        <v>52</v>
      </c>
      <c r="G888">
        <v>114517039</v>
      </c>
      <c r="H888" t="s">
        <v>1388</v>
      </c>
    </row>
    <row r="889" spans="1:8" x14ac:dyDescent="0.25">
      <c r="A889" t="s">
        <v>1380</v>
      </c>
      <c r="B889" t="s">
        <v>475</v>
      </c>
      <c r="C889" t="s">
        <v>476</v>
      </c>
      <c r="D889" t="s">
        <v>10</v>
      </c>
      <c r="E889">
        <v>1449514.9</v>
      </c>
      <c r="F889">
        <v>74</v>
      </c>
      <c r="G889">
        <v>107264102.59999999</v>
      </c>
      <c r="H889" t="s">
        <v>1388</v>
      </c>
    </row>
    <row r="890" spans="1:8" x14ac:dyDescent="0.25">
      <c r="A890" t="s">
        <v>1381</v>
      </c>
      <c r="B890" t="s">
        <v>469</v>
      </c>
      <c r="C890" t="s">
        <v>470</v>
      </c>
      <c r="D890" t="s">
        <v>14</v>
      </c>
      <c r="E890">
        <v>751899.84</v>
      </c>
      <c r="F890">
        <v>12</v>
      </c>
      <c r="G890">
        <v>9022798.0800000001</v>
      </c>
      <c r="H890" t="s">
        <v>1388</v>
      </c>
    </row>
    <row r="891" spans="1:8" x14ac:dyDescent="0.25">
      <c r="A891" t="s">
        <v>1382</v>
      </c>
      <c r="B891" t="s">
        <v>427</v>
      </c>
      <c r="C891" t="s">
        <v>428</v>
      </c>
      <c r="D891" t="s">
        <v>10</v>
      </c>
      <c r="E891">
        <v>979877.41</v>
      </c>
      <c r="F891">
        <v>19</v>
      </c>
      <c r="G891">
        <v>18617670.789999999</v>
      </c>
      <c r="H891" t="s">
        <v>1388</v>
      </c>
    </row>
    <row r="892" spans="1:8" x14ac:dyDescent="0.25">
      <c r="A892" t="s">
        <v>1383</v>
      </c>
      <c r="B892" t="s">
        <v>31</v>
      </c>
      <c r="C892" t="s">
        <v>32</v>
      </c>
      <c r="D892" t="s">
        <v>26</v>
      </c>
      <c r="E892">
        <v>3332423.05</v>
      </c>
      <c r="F892">
        <v>7</v>
      </c>
      <c r="G892">
        <v>23326961.350000001</v>
      </c>
      <c r="H892" t="s">
        <v>1388</v>
      </c>
    </row>
    <row r="893" spans="1:8" x14ac:dyDescent="0.25">
      <c r="A893" t="s">
        <v>1383</v>
      </c>
      <c r="B893" t="s">
        <v>897</v>
      </c>
      <c r="C893" t="s">
        <v>898</v>
      </c>
      <c r="D893" t="s">
        <v>19</v>
      </c>
      <c r="E893">
        <v>1094706.44</v>
      </c>
      <c r="F893">
        <v>68</v>
      </c>
      <c r="G893">
        <v>74440037.920000002</v>
      </c>
      <c r="H893" t="s">
        <v>1388</v>
      </c>
    </row>
    <row r="894" spans="1:8" x14ac:dyDescent="0.25">
      <c r="A894" t="s">
        <v>1383</v>
      </c>
      <c r="B894" t="s">
        <v>317</v>
      </c>
      <c r="C894" t="s">
        <v>318</v>
      </c>
      <c r="D894" t="s">
        <v>26</v>
      </c>
      <c r="E894">
        <v>2181349.75</v>
      </c>
      <c r="F894">
        <v>23</v>
      </c>
      <c r="G894">
        <v>50171044.25</v>
      </c>
      <c r="H894" t="s">
        <v>1388</v>
      </c>
    </row>
    <row r="895" spans="1:8" x14ac:dyDescent="0.25">
      <c r="A895" t="s">
        <v>1384</v>
      </c>
      <c r="B895" t="s">
        <v>531</v>
      </c>
      <c r="C895" t="s">
        <v>532</v>
      </c>
      <c r="D895" t="s">
        <v>14</v>
      </c>
      <c r="E895">
        <v>485458.95</v>
      </c>
      <c r="F895">
        <v>61</v>
      </c>
      <c r="G895">
        <v>29612995.949999999</v>
      </c>
      <c r="H895" t="s">
        <v>1388</v>
      </c>
    </row>
    <row r="896" spans="1:8" x14ac:dyDescent="0.25">
      <c r="A896" t="s">
        <v>1384</v>
      </c>
      <c r="B896" t="s">
        <v>557</v>
      </c>
      <c r="C896" t="s">
        <v>558</v>
      </c>
      <c r="D896" t="s">
        <v>14</v>
      </c>
      <c r="E896">
        <v>504664.63</v>
      </c>
      <c r="F896">
        <v>29</v>
      </c>
      <c r="G896">
        <v>14635274.27</v>
      </c>
      <c r="H896" t="s">
        <v>1388</v>
      </c>
    </row>
    <row r="897" spans="1:8" x14ac:dyDescent="0.25">
      <c r="A897" t="s">
        <v>1386</v>
      </c>
      <c r="B897" t="s">
        <v>1009</v>
      </c>
      <c r="C897" t="s">
        <v>1010</v>
      </c>
      <c r="D897" t="s">
        <v>10</v>
      </c>
      <c r="E897">
        <v>1401229.48</v>
      </c>
      <c r="F897">
        <v>38</v>
      </c>
      <c r="G897">
        <v>53246720.240000002</v>
      </c>
      <c r="H897" t="s">
        <v>1388</v>
      </c>
    </row>
    <row r="898" spans="1:8" x14ac:dyDescent="0.25">
      <c r="A898" t="s">
        <v>1386</v>
      </c>
      <c r="B898" t="s">
        <v>413</v>
      </c>
      <c r="C898" t="s">
        <v>414</v>
      </c>
      <c r="D898" t="s">
        <v>14</v>
      </c>
      <c r="E898">
        <v>1007466.54</v>
      </c>
      <c r="F898">
        <v>55</v>
      </c>
      <c r="G898">
        <v>55410659.700000003</v>
      </c>
      <c r="H898" t="s">
        <v>1388</v>
      </c>
    </row>
    <row r="899" spans="1:8" x14ac:dyDescent="0.25">
      <c r="A899" t="s">
        <v>1386</v>
      </c>
      <c r="B899" t="s">
        <v>421</v>
      </c>
      <c r="C899" t="s">
        <v>422</v>
      </c>
      <c r="D899" t="s">
        <v>14</v>
      </c>
      <c r="E899">
        <v>450386.24</v>
      </c>
      <c r="F899">
        <v>25</v>
      </c>
      <c r="G899">
        <v>11259656</v>
      </c>
      <c r="H899" t="s">
        <v>1388</v>
      </c>
    </row>
    <row r="900" spans="1:8" x14ac:dyDescent="0.25">
      <c r="A900" t="s">
        <v>1387</v>
      </c>
      <c r="B900" t="s">
        <v>497</v>
      </c>
      <c r="C900" t="s">
        <v>498</v>
      </c>
      <c r="D900" t="s">
        <v>26</v>
      </c>
      <c r="E900">
        <v>503012.01</v>
      </c>
      <c r="F900">
        <v>7</v>
      </c>
      <c r="G900">
        <v>3521084.07</v>
      </c>
      <c r="H900" t="s">
        <v>1388</v>
      </c>
    </row>
    <row r="901" spans="1:8" x14ac:dyDescent="0.25">
      <c r="A901" t="s">
        <v>1387</v>
      </c>
      <c r="B901" t="s">
        <v>837</v>
      </c>
      <c r="C901" t="s">
        <v>838</v>
      </c>
      <c r="D901" t="s">
        <v>26</v>
      </c>
      <c r="E901">
        <v>3398385.64</v>
      </c>
      <c r="F901">
        <v>45</v>
      </c>
      <c r="G901">
        <v>152927353.80000001</v>
      </c>
      <c r="H901" t="s">
        <v>1388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56A-5136-4DD9-9D0D-D2220121D2E0}">
  <dimension ref="A1:J501"/>
  <sheetViews>
    <sheetView tabSelected="1" workbookViewId="0">
      <selection activeCell="D5" sqref="D5"/>
    </sheetView>
  </sheetViews>
  <sheetFormatPr baseColWidth="10" defaultColWidth="9.140625" defaultRowHeight="15" x14ac:dyDescent="0.25"/>
  <cols>
    <col min="1" max="1" width="11" customWidth="1"/>
    <col min="2" max="2" width="25.7109375" customWidth="1"/>
    <col min="3" max="3" width="21.42578125" customWidth="1"/>
    <col min="4" max="4" width="18.85546875" customWidth="1"/>
    <col min="5" max="7" width="11" customWidth="1"/>
    <col min="8" max="8" width="16.140625" customWidth="1"/>
    <col min="9" max="9" width="23" customWidth="1"/>
    <col min="10" max="10" width="17.28515625" customWidth="1"/>
  </cols>
  <sheetData>
    <row r="1" spans="1:10" x14ac:dyDescent="0.25">
      <c r="A1" t="s">
        <v>1451</v>
      </c>
      <c r="B1" t="s">
        <v>1452</v>
      </c>
      <c r="C1" t="s">
        <v>1453</v>
      </c>
      <c r="D1" t="s">
        <v>1455</v>
      </c>
      <c r="E1" t="s">
        <v>1454</v>
      </c>
      <c r="F1" t="s">
        <v>1456</v>
      </c>
      <c r="G1" t="s">
        <v>1457</v>
      </c>
      <c r="H1" t="s">
        <v>1458</v>
      </c>
      <c r="I1" t="s">
        <v>1459</v>
      </c>
      <c r="J1" t="s">
        <v>1460</v>
      </c>
    </row>
    <row r="2" spans="1:10" x14ac:dyDescent="0.25">
      <c r="A2" t="s">
        <v>8</v>
      </c>
      <c r="B2" t="str">
        <f>VLOOKUP(Table4[[#This Row],[reference]],listeMarchandises[],2,FALSE)</f>
        <v>Smartphone Edge 001</v>
      </c>
      <c r="C2" t="str">
        <f>VLOOKUP(Table4[[#This Row],[reference]],listeMarchandises[],3,FALSE)</f>
        <v>Smartphone</v>
      </c>
      <c r="D2">
        <f>VLOOKUP(Table4[[#This Row],[reference]],listeMarchandises[],4,FALSE)</f>
        <v>9</v>
      </c>
      <c r="E2">
        <f>VLOOKUP(Table4[[#This Row],[reference]],listeMarchandises[],6,FALSE)</f>
        <v>235</v>
      </c>
      <c r="F2">
        <f>SUMIF(listeEntrées[Reference],Table4[[#This Row],[reference]],listeEntrées[Quantite])</f>
        <v>83</v>
      </c>
      <c r="G2">
        <f>SUMIF(listeSorties[Reference],Table4[[#This Row],[reference]],listeSorties[Quantite])</f>
        <v>87</v>
      </c>
      <c r="H2">
        <f>Table4[[#This Row],[stock initial]]+Table4[[#This Row],[entrees]]-Table4[[#This Row],[sorties]]</f>
        <v>231</v>
      </c>
      <c r="I2">
        <f>Table4[[#This Row],[stock final]]*(VLOOKUP(Table4[[#This Row],[reference]],listeMarchandises[],7,FALSE))</f>
        <v>229417841.72999999</v>
      </c>
      <c r="J2" t="str">
        <f>IF(Table4[[#This Row],[valeur]]&lt;=Table4[[#This Row],[seuil d''alerte]],"stock faible","stock normal")</f>
        <v>stock normal</v>
      </c>
    </row>
    <row r="3" spans="1:10" x14ac:dyDescent="0.25">
      <c r="A3" t="s">
        <v>12</v>
      </c>
      <c r="B3" t="str">
        <f>VLOOKUP(Table4[[#This Row],[reference]],listeMarchandises[],2,FALSE)</f>
        <v>Lave-linge 001</v>
      </c>
      <c r="C3" t="str">
        <f>VLOOKUP(Table4[[#This Row],[reference]],listeMarchandises[],3,FALSE)</f>
        <v>Electromenager</v>
      </c>
      <c r="D3">
        <f>VLOOKUP(Table4[[#This Row],[reference]],listeMarchandises[],4,FALSE)</f>
        <v>18</v>
      </c>
      <c r="E3">
        <f>VLOOKUP(Table4[[#This Row],[reference]],listeMarchandises[],6,FALSE)</f>
        <v>44</v>
      </c>
      <c r="F3">
        <f>SUMIF(listeEntrées[Reference],Table4[[#This Row],[reference]],listeEntrées[Quantite])</f>
        <v>2</v>
      </c>
      <c r="G3">
        <f>SUMIF(listeSorties[Reference],Table4[[#This Row],[reference]],listeSorties[Quantite])</f>
        <v>0</v>
      </c>
      <c r="H3">
        <f>Table4[[#This Row],[stock initial]]+Table4[[#This Row],[entrees]]-Table4[[#This Row],[sorties]]</f>
        <v>46</v>
      </c>
      <c r="I3">
        <f>Table4[[#This Row],[stock final]]*(VLOOKUP(Table4[[#This Row],[reference]],listeMarchandises[],7,FALSE))</f>
        <v>40988118.760000005</v>
      </c>
      <c r="J3" t="str">
        <f>IF(Table4[[#This Row],[valeur]]&lt;=Table4[[#This Row],[seuil d''alerte]],"stock faible","stock normal")</f>
        <v>stock normal</v>
      </c>
    </row>
    <row r="4" spans="1:10" x14ac:dyDescent="0.25">
      <c r="A4" t="s">
        <v>15</v>
      </c>
      <c r="B4" t="str">
        <f>VLOOKUP(Table4[[#This Row],[reference]],listeMarchandises[],2,FALSE)</f>
        <v>Smartphone Edge 002</v>
      </c>
      <c r="C4" t="str">
        <f>VLOOKUP(Table4[[#This Row],[reference]],listeMarchandises[],3,FALSE)</f>
        <v>Smartphone</v>
      </c>
      <c r="D4">
        <f>VLOOKUP(Table4[[#This Row],[reference]],listeMarchandises[],4,FALSE)</f>
        <v>16</v>
      </c>
      <c r="E4">
        <f>VLOOKUP(Table4[[#This Row],[reference]],listeMarchandises[],6,FALSE)</f>
        <v>145</v>
      </c>
      <c r="F4">
        <f>SUMIF(listeEntrées[Reference],Table4[[#This Row],[reference]],listeEntrées[Quantite])</f>
        <v>72</v>
      </c>
      <c r="G4">
        <f>SUMIF(listeSorties[Reference],Table4[[#This Row],[reference]],listeSorties[Quantite])</f>
        <v>32</v>
      </c>
      <c r="H4">
        <f>Table4[[#This Row],[stock initial]]+Table4[[#This Row],[entrees]]-Table4[[#This Row],[sorties]]</f>
        <v>185</v>
      </c>
      <c r="I4">
        <f>Table4[[#This Row],[stock final]]*(VLOOKUP(Table4[[#This Row],[reference]],listeMarchandises[],7,FALSE))</f>
        <v>292276218.25</v>
      </c>
      <c r="J4" t="str">
        <f>IF(Table4[[#This Row],[valeur]]&lt;=Table4[[#This Row],[seuil d''alerte]],"stock faible","stock normal")</f>
        <v>stock normal</v>
      </c>
    </row>
    <row r="5" spans="1:10" x14ac:dyDescent="0.25">
      <c r="A5" t="s">
        <v>17</v>
      </c>
      <c r="B5" t="str">
        <f>VLOOKUP(Table4[[#This Row],[reference]],listeMarchandises[],2,FALSE)</f>
        <v>Saxophone alto 001</v>
      </c>
      <c r="C5" t="str">
        <f>VLOOKUP(Table4[[#This Row],[reference]],listeMarchandises[],3,FALSE)</f>
        <v>Instrument de musique</v>
      </c>
      <c r="D5">
        <f>VLOOKUP(Table4[[#This Row],[reference]],listeMarchandises[],4,FALSE)</f>
        <v>9</v>
      </c>
      <c r="E5">
        <f>VLOOKUP(Table4[[#This Row],[reference]],listeMarchandises[],6,FALSE)</f>
        <v>28</v>
      </c>
      <c r="F5">
        <f>SUMIF(listeEntrées[Reference],Table4[[#This Row],[reference]],listeEntrées[Quantite])</f>
        <v>265</v>
      </c>
      <c r="G5">
        <f>SUMIF(listeSorties[Reference],Table4[[#This Row],[reference]],listeSorties[Quantite])</f>
        <v>67</v>
      </c>
      <c r="H5">
        <f>Table4[[#This Row],[stock initial]]+Table4[[#This Row],[entrees]]-Table4[[#This Row],[sorties]]</f>
        <v>226</v>
      </c>
      <c r="I5">
        <f>Table4[[#This Row],[stock final]]*(VLOOKUP(Table4[[#This Row],[reference]],listeMarchandises[],7,FALSE))</f>
        <v>304343740.71999997</v>
      </c>
      <c r="J5" t="str">
        <f>IF(Table4[[#This Row],[valeur]]&lt;=Table4[[#This Row],[seuil d''alerte]],"stock faible","stock normal")</f>
        <v>stock normal</v>
      </c>
    </row>
    <row r="6" spans="1:10" x14ac:dyDescent="0.25">
      <c r="A6" t="s">
        <v>20</v>
      </c>
      <c r="B6" t="str">
        <f>VLOOKUP(Table4[[#This Row],[reference]],listeMarchandises[],2,FALSE)</f>
        <v>Smartphone Nova 003</v>
      </c>
      <c r="C6" t="str">
        <f>VLOOKUP(Table4[[#This Row],[reference]],listeMarchandises[],3,FALSE)</f>
        <v>Smartphone</v>
      </c>
      <c r="D6">
        <f>VLOOKUP(Table4[[#This Row],[reference]],listeMarchandises[],4,FALSE)</f>
        <v>7</v>
      </c>
      <c r="E6">
        <f>VLOOKUP(Table4[[#This Row],[reference]],listeMarchandises[],6,FALSE)</f>
        <v>122</v>
      </c>
      <c r="F6">
        <f>SUMIF(listeEntrées[Reference],Table4[[#This Row],[reference]],listeEntrées[Quantite])</f>
        <v>26</v>
      </c>
      <c r="G6">
        <f>SUMIF(listeSorties[Reference],Table4[[#This Row],[reference]],listeSorties[Quantite])</f>
        <v>58</v>
      </c>
      <c r="H6">
        <f>Table4[[#This Row],[stock initial]]+Table4[[#This Row],[entrees]]-Table4[[#This Row],[sorties]]</f>
        <v>90</v>
      </c>
      <c r="I6">
        <f>Table4[[#This Row],[stock final]]*(VLOOKUP(Table4[[#This Row],[reference]],listeMarchandises[],7,FALSE))</f>
        <v>88932237.299999997</v>
      </c>
      <c r="J6" t="str">
        <f>IF(Table4[[#This Row],[valeur]]&lt;=Table4[[#This Row],[seuil d''alerte]],"stock faible","stock normal")</f>
        <v>stock normal</v>
      </c>
    </row>
    <row r="7" spans="1:10" x14ac:dyDescent="0.25">
      <c r="A7" t="s">
        <v>22</v>
      </c>
      <c r="B7" t="str">
        <f>VLOOKUP(Table4[[#This Row],[reference]],listeMarchandises[],2,FALSE)</f>
        <v>Batterie electronique 002</v>
      </c>
      <c r="C7" t="str">
        <f>VLOOKUP(Table4[[#This Row],[reference]],listeMarchandises[],3,FALSE)</f>
        <v>Instrument de musique</v>
      </c>
      <c r="D7">
        <f>VLOOKUP(Table4[[#This Row],[reference]],listeMarchandises[],4,FALSE)</f>
        <v>10</v>
      </c>
      <c r="E7">
        <f>VLOOKUP(Table4[[#This Row],[reference]],listeMarchandises[],6,FALSE)</f>
        <v>314</v>
      </c>
      <c r="F7">
        <f>SUMIF(listeEntrées[Reference],Table4[[#This Row],[reference]],listeEntrées[Quantite])</f>
        <v>41</v>
      </c>
      <c r="G7">
        <f>SUMIF(listeSorties[Reference],Table4[[#This Row],[reference]],listeSorties[Quantite])</f>
        <v>79</v>
      </c>
      <c r="H7">
        <f>Table4[[#This Row],[stock initial]]+Table4[[#This Row],[entrees]]-Table4[[#This Row],[sorties]]</f>
        <v>276</v>
      </c>
      <c r="I7">
        <f>Table4[[#This Row],[stock final]]*(VLOOKUP(Table4[[#This Row],[reference]],listeMarchandises[],7,FALSE))</f>
        <v>27696517.199999999</v>
      </c>
      <c r="J7" t="str">
        <f>IF(Table4[[#This Row],[valeur]]&lt;=Table4[[#This Row],[seuil d''alerte]],"stock faible","stock normal")</f>
        <v>stock normal</v>
      </c>
    </row>
    <row r="8" spans="1:10" x14ac:dyDescent="0.25">
      <c r="A8" t="s">
        <v>24</v>
      </c>
      <c r="B8" t="str">
        <f>VLOOKUP(Table4[[#This Row],[reference]],listeMarchandises[],2,FALSE)</f>
        <v>Groupe silencieux 6kVA 001</v>
      </c>
      <c r="C8" t="str">
        <f>VLOOKUP(Table4[[#This Row],[reference]],listeMarchandises[],3,FALSE)</f>
        <v>Groupe electrogene</v>
      </c>
      <c r="D8">
        <f>VLOOKUP(Table4[[#This Row],[reference]],listeMarchandises[],4,FALSE)</f>
        <v>20</v>
      </c>
      <c r="E8">
        <f>VLOOKUP(Table4[[#This Row],[reference]],listeMarchandises[],6,FALSE)</f>
        <v>88</v>
      </c>
      <c r="F8">
        <f>SUMIF(listeEntrées[Reference],Table4[[#This Row],[reference]],listeEntrées[Quantite])</f>
        <v>83</v>
      </c>
      <c r="G8">
        <f>SUMIF(listeSorties[Reference],Table4[[#This Row],[reference]],listeSorties[Quantite])</f>
        <v>112</v>
      </c>
      <c r="H8">
        <f>Table4[[#This Row],[stock initial]]+Table4[[#This Row],[entrees]]-Table4[[#This Row],[sorties]]</f>
        <v>59</v>
      </c>
      <c r="I8">
        <f>Table4[[#This Row],[stock final]]*(VLOOKUP(Table4[[#This Row],[reference]],listeMarchandises[],7,FALSE))</f>
        <v>128923632.88</v>
      </c>
      <c r="J8" t="str">
        <f>IF(Table4[[#This Row],[valeur]]&lt;=Table4[[#This Row],[seuil d''alerte]],"stock faible","stock normal")</f>
        <v>stock normal</v>
      </c>
    </row>
    <row r="9" spans="1:10" x14ac:dyDescent="0.25">
      <c r="A9" t="s">
        <v>27</v>
      </c>
      <c r="B9" t="str">
        <f>VLOOKUP(Table4[[#This Row],[reference]],listeMarchandises[],2,FALSE)</f>
        <v>Fer a repasser 002</v>
      </c>
      <c r="C9" t="str">
        <f>VLOOKUP(Table4[[#This Row],[reference]],listeMarchandises[],3,FALSE)</f>
        <v>Electromenager</v>
      </c>
      <c r="D9">
        <f>VLOOKUP(Table4[[#This Row],[reference]],listeMarchandises[],4,FALSE)</f>
        <v>22</v>
      </c>
      <c r="E9">
        <f>VLOOKUP(Table4[[#This Row],[reference]],listeMarchandises[],6,FALSE)</f>
        <v>363</v>
      </c>
      <c r="F9">
        <f>SUMIF(listeEntrées[Reference],Table4[[#This Row],[reference]],listeEntrées[Quantite])</f>
        <v>85</v>
      </c>
      <c r="G9">
        <f>SUMIF(listeSorties[Reference],Table4[[#This Row],[reference]],listeSorties[Quantite])</f>
        <v>111</v>
      </c>
      <c r="H9">
        <f>Table4[[#This Row],[stock initial]]+Table4[[#This Row],[entrees]]-Table4[[#This Row],[sorties]]</f>
        <v>337</v>
      </c>
      <c r="I9">
        <f>Table4[[#This Row],[stock final]]*(VLOOKUP(Table4[[#This Row],[reference]],listeMarchandises[],7,FALSE))</f>
        <v>235052825.81</v>
      </c>
      <c r="J9" t="str">
        <f>IF(Table4[[#This Row],[valeur]]&lt;=Table4[[#This Row],[seuil d''alerte]],"stock faible","stock normal")</f>
        <v>stock normal</v>
      </c>
    </row>
    <row r="10" spans="1:10" x14ac:dyDescent="0.25">
      <c r="A10" t="s">
        <v>29</v>
      </c>
      <c r="B10" t="str">
        <f>VLOOKUP(Table4[[#This Row],[reference]],listeMarchandises[],2,FALSE)</f>
        <v>Groupe 12kVA 002</v>
      </c>
      <c r="C10" t="str">
        <f>VLOOKUP(Table4[[#This Row],[reference]],listeMarchandises[],3,FALSE)</f>
        <v>Groupe electrogene</v>
      </c>
      <c r="D10">
        <f>VLOOKUP(Table4[[#This Row],[reference]],listeMarchandises[],4,FALSE)</f>
        <v>16</v>
      </c>
      <c r="E10">
        <f>VLOOKUP(Table4[[#This Row],[reference]],listeMarchandises[],6,FALSE)</f>
        <v>123</v>
      </c>
      <c r="F10">
        <f>SUMIF(listeEntrées[Reference],Table4[[#This Row],[reference]],listeEntrées[Quantite])</f>
        <v>103</v>
      </c>
      <c r="G10">
        <f>SUMIF(listeSorties[Reference],Table4[[#This Row],[reference]],listeSorties[Quantite])</f>
        <v>58</v>
      </c>
      <c r="H10">
        <f>Table4[[#This Row],[stock initial]]+Table4[[#This Row],[entrees]]-Table4[[#This Row],[sorties]]</f>
        <v>168</v>
      </c>
      <c r="I10">
        <f>Table4[[#This Row],[stock final]]*(VLOOKUP(Table4[[#This Row],[reference]],listeMarchandises[],7,FALSE))</f>
        <v>85336090.560000002</v>
      </c>
      <c r="J10" t="str">
        <f>IF(Table4[[#This Row],[valeur]]&lt;=Table4[[#This Row],[seuil d''alerte]],"stock faible","stock normal")</f>
        <v>stock normal</v>
      </c>
    </row>
    <row r="11" spans="1:10" x14ac:dyDescent="0.25">
      <c r="A11" t="s">
        <v>31</v>
      </c>
      <c r="B11" t="str">
        <f>VLOOKUP(Table4[[#This Row],[reference]],listeMarchandises[],2,FALSE)</f>
        <v>Groupe 5kVA 003</v>
      </c>
      <c r="C11" t="str">
        <f>VLOOKUP(Table4[[#This Row],[reference]],listeMarchandises[],3,FALSE)</f>
        <v>Groupe electrogene</v>
      </c>
      <c r="D11">
        <f>VLOOKUP(Table4[[#This Row],[reference]],listeMarchandises[],4,FALSE)</f>
        <v>22</v>
      </c>
      <c r="E11">
        <f>VLOOKUP(Table4[[#This Row],[reference]],listeMarchandises[],6,FALSE)</f>
        <v>223</v>
      </c>
      <c r="F11">
        <f>SUMIF(listeEntrées[Reference],Table4[[#This Row],[reference]],listeEntrées[Quantite])</f>
        <v>0</v>
      </c>
      <c r="G11">
        <f>SUMIF(listeSorties[Reference],Table4[[#This Row],[reference]],listeSorties[Quantite])</f>
        <v>115</v>
      </c>
      <c r="H11">
        <f>Table4[[#This Row],[stock initial]]+Table4[[#This Row],[entrees]]-Table4[[#This Row],[sorties]]</f>
        <v>108</v>
      </c>
      <c r="I11">
        <f>Table4[[#This Row],[stock final]]*(VLOOKUP(Table4[[#This Row],[reference]],listeMarchandises[],7,FALSE))</f>
        <v>378817750.07999998</v>
      </c>
      <c r="J11" t="str">
        <f>IF(Table4[[#This Row],[valeur]]&lt;=Table4[[#This Row],[seuil d''alerte]],"stock faible","stock normal")</f>
        <v>stock normal</v>
      </c>
    </row>
    <row r="12" spans="1:10" x14ac:dyDescent="0.25">
      <c r="A12" t="s">
        <v>33</v>
      </c>
      <c r="B12" t="str">
        <f>VLOOKUP(Table4[[#This Row],[reference]],listeMarchandises[],2,FALSE)</f>
        <v>Smartphone Alpha 004</v>
      </c>
      <c r="C12" t="str">
        <f>VLOOKUP(Table4[[#This Row],[reference]],listeMarchandises[],3,FALSE)</f>
        <v>Smartphone</v>
      </c>
      <c r="D12">
        <f>VLOOKUP(Table4[[#This Row],[reference]],listeMarchandises[],4,FALSE)</f>
        <v>6</v>
      </c>
      <c r="E12">
        <f>VLOOKUP(Table4[[#This Row],[reference]],listeMarchandises[],6,FALSE)</f>
        <v>49</v>
      </c>
      <c r="F12">
        <f>SUMIF(listeEntrées[Reference],Table4[[#This Row],[reference]],listeEntrées[Quantite])</f>
        <v>8</v>
      </c>
      <c r="G12">
        <f>SUMIF(listeSorties[Reference],Table4[[#This Row],[reference]],listeSorties[Quantite])</f>
        <v>67</v>
      </c>
      <c r="H12">
        <f>Table4[[#This Row],[stock initial]]+Table4[[#This Row],[entrees]]-Table4[[#This Row],[sorties]]</f>
        <v>-10</v>
      </c>
      <c r="I12">
        <f>Table4[[#This Row],[stock final]]*(VLOOKUP(Table4[[#This Row],[reference]],listeMarchandises[],7,FALSE))</f>
        <v>-2712588.7</v>
      </c>
      <c r="J12" t="str">
        <f>IF(Table4[[#This Row],[valeur]]&lt;=Table4[[#This Row],[seuil d''alerte]],"stock faible","stock normal")</f>
        <v>stock faible</v>
      </c>
    </row>
    <row r="13" spans="1:10" x14ac:dyDescent="0.25">
      <c r="A13" t="s">
        <v>35</v>
      </c>
      <c r="B13" t="str">
        <f>VLOOKUP(Table4[[#This Row],[reference]],listeMarchandises[],2,FALSE)</f>
        <v>Refrigerateur 003</v>
      </c>
      <c r="C13" t="str">
        <f>VLOOKUP(Table4[[#This Row],[reference]],listeMarchandises[],3,FALSE)</f>
        <v>Electromenager</v>
      </c>
      <c r="D13">
        <f>VLOOKUP(Table4[[#This Row],[reference]],listeMarchandises[],4,FALSE)</f>
        <v>16</v>
      </c>
      <c r="E13">
        <f>VLOOKUP(Table4[[#This Row],[reference]],listeMarchandises[],6,FALSE)</f>
        <v>132</v>
      </c>
      <c r="F13">
        <f>SUMIF(listeEntrées[Reference],Table4[[#This Row],[reference]],listeEntrées[Quantite])</f>
        <v>128</v>
      </c>
      <c r="G13">
        <f>SUMIF(listeSorties[Reference],Table4[[#This Row],[reference]],listeSorties[Quantite])</f>
        <v>34</v>
      </c>
      <c r="H13">
        <f>Table4[[#This Row],[stock initial]]+Table4[[#This Row],[entrees]]-Table4[[#This Row],[sorties]]</f>
        <v>226</v>
      </c>
      <c r="I13">
        <f>Table4[[#This Row],[stock final]]*(VLOOKUP(Table4[[#This Row],[reference]],listeMarchandises[],7,FALSE))</f>
        <v>108166637.44</v>
      </c>
      <c r="J13" t="str">
        <f>IF(Table4[[#This Row],[valeur]]&lt;=Table4[[#This Row],[seuil d''alerte]],"stock faible","stock normal")</f>
        <v>stock normal</v>
      </c>
    </row>
    <row r="14" spans="1:10" x14ac:dyDescent="0.25">
      <c r="A14" t="s">
        <v>37</v>
      </c>
      <c r="B14" t="str">
        <f>VLOOKUP(Table4[[#This Row],[reference]],listeMarchandises[],2,FALSE)</f>
        <v>Climatiseur 004</v>
      </c>
      <c r="C14" t="str">
        <f>VLOOKUP(Table4[[#This Row],[reference]],listeMarchandises[],3,FALSE)</f>
        <v>Electromenager</v>
      </c>
      <c r="D14">
        <f>VLOOKUP(Table4[[#This Row],[reference]],listeMarchandises[],4,FALSE)</f>
        <v>6</v>
      </c>
      <c r="E14">
        <f>VLOOKUP(Table4[[#This Row],[reference]],listeMarchandises[],6,FALSE)</f>
        <v>219</v>
      </c>
      <c r="F14">
        <f>SUMIF(listeEntrées[Reference],Table4[[#This Row],[reference]],listeEntrées[Quantite])</f>
        <v>22</v>
      </c>
      <c r="G14">
        <f>SUMIF(listeSorties[Reference],Table4[[#This Row],[reference]],listeSorties[Quantite])</f>
        <v>62</v>
      </c>
      <c r="H14">
        <f>Table4[[#This Row],[stock initial]]+Table4[[#This Row],[entrees]]-Table4[[#This Row],[sorties]]</f>
        <v>179</v>
      </c>
      <c r="I14">
        <f>Table4[[#This Row],[stock final]]*(VLOOKUP(Table4[[#This Row],[reference]],listeMarchandises[],7,FALSE))</f>
        <v>170476469.28999999</v>
      </c>
      <c r="J14" t="str">
        <f>IF(Table4[[#This Row],[valeur]]&lt;=Table4[[#This Row],[seuil d''alerte]],"stock faible","stock normal")</f>
        <v>stock normal</v>
      </c>
    </row>
    <row r="15" spans="1:10" x14ac:dyDescent="0.25">
      <c r="A15" t="s">
        <v>39</v>
      </c>
      <c r="B15" t="str">
        <f>VLOOKUP(Table4[[#This Row],[reference]],listeMarchandises[],2,FALSE)</f>
        <v>Saxophone alto 003</v>
      </c>
      <c r="C15" t="str">
        <f>VLOOKUP(Table4[[#This Row],[reference]],listeMarchandises[],3,FALSE)</f>
        <v>Instrument de musique</v>
      </c>
      <c r="D15">
        <f>VLOOKUP(Table4[[#This Row],[reference]],listeMarchandises[],4,FALSE)</f>
        <v>17</v>
      </c>
      <c r="E15">
        <f>VLOOKUP(Table4[[#This Row],[reference]],listeMarchandises[],6,FALSE)</f>
        <v>319</v>
      </c>
      <c r="F15">
        <f>SUMIF(listeEntrées[Reference],Table4[[#This Row],[reference]],listeEntrées[Quantite])</f>
        <v>0</v>
      </c>
      <c r="G15">
        <f>SUMIF(listeSorties[Reference],Table4[[#This Row],[reference]],listeSorties[Quantite])</f>
        <v>8</v>
      </c>
      <c r="H15">
        <f>Table4[[#This Row],[stock initial]]+Table4[[#This Row],[entrees]]-Table4[[#This Row],[sorties]]</f>
        <v>311</v>
      </c>
      <c r="I15">
        <f>Table4[[#This Row],[stock final]]*(VLOOKUP(Table4[[#This Row],[reference]],listeMarchandises[],7,FALSE))</f>
        <v>58053446.329999998</v>
      </c>
      <c r="J15" t="str">
        <f>IF(Table4[[#This Row],[valeur]]&lt;=Table4[[#This Row],[seuil d''alerte]],"stock faible","stock normal")</f>
        <v>stock normal</v>
      </c>
    </row>
    <row r="16" spans="1:10" x14ac:dyDescent="0.25">
      <c r="A16" t="s">
        <v>41</v>
      </c>
      <c r="B16" t="str">
        <f>VLOOKUP(Table4[[#This Row],[reference]],listeMarchandises[],2,FALSE)</f>
        <v>Groupe 2kVA 004</v>
      </c>
      <c r="C16" t="str">
        <f>VLOOKUP(Table4[[#This Row],[reference]],listeMarchandises[],3,FALSE)</f>
        <v>Groupe electrogene</v>
      </c>
      <c r="D16">
        <f>VLOOKUP(Table4[[#This Row],[reference]],listeMarchandises[],4,FALSE)</f>
        <v>24</v>
      </c>
      <c r="E16">
        <f>VLOOKUP(Table4[[#This Row],[reference]],listeMarchandises[],6,FALSE)</f>
        <v>151</v>
      </c>
      <c r="F16">
        <f>SUMIF(listeEntrées[Reference],Table4[[#This Row],[reference]],listeEntrées[Quantite])</f>
        <v>68</v>
      </c>
      <c r="G16">
        <f>SUMIF(listeSorties[Reference],Table4[[#This Row],[reference]],listeSorties[Quantite])</f>
        <v>62</v>
      </c>
      <c r="H16">
        <f>Table4[[#This Row],[stock initial]]+Table4[[#This Row],[entrees]]-Table4[[#This Row],[sorties]]</f>
        <v>157</v>
      </c>
      <c r="I16">
        <f>Table4[[#This Row],[stock final]]*(VLOOKUP(Table4[[#This Row],[reference]],listeMarchandises[],7,FALSE))</f>
        <v>507920713.45999998</v>
      </c>
      <c r="J16" t="str">
        <f>IF(Table4[[#This Row],[valeur]]&lt;=Table4[[#This Row],[seuil d''alerte]],"stock faible","stock normal")</f>
        <v>stock normal</v>
      </c>
    </row>
    <row r="17" spans="1:10" x14ac:dyDescent="0.25">
      <c r="A17" t="s">
        <v>43</v>
      </c>
      <c r="B17" t="str">
        <f>VLOOKUP(Table4[[#This Row],[reference]],listeMarchandises[],2,FALSE)</f>
        <v>Smartphone Edge 005</v>
      </c>
      <c r="C17" t="str">
        <f>VLOOKUP(Table4[[#This Row],[reference]],listeMarchandises[],3,FALSE)</f>
        <v>Smartphone</v>
      </c>
      <c r="D17">
        <f>VLOOKUP(Table4[[#This Row],[reference]],listeMarchandises[],4,FALSE)</f>
        <v>11</v>
      </c>
      <c r="E17">
        <f>VLOOKUP(Table4[[#This Row],[reference]],listeMarchandises[],6,FALSE)</f>
        <v>194</v>
      </c>
      <c r="F17">
        <f>SUMIF(listeEntrées[Reference],Table4[[#This Row],[reference]],listeEntrées[Quantite])</f>
        <v>62</v>
      </c>
      <c r="G17">
        <f>SUMIF(listeSorties[Reference],Table4[[#This Row],[reference]],listeSorties[Quantite])</f>
        <v>56</v>
      </c>
      <c r="H17">
        <f>Table4[[#This Row],[stock initial]]+Table4[[#This Row],[entrees]]-Table4[[#This Row],[sorties]]</f>
        <v>200</v>
      </c>
      <c r="I17">
        <f>Table4[[#This Row],[stock final]]*(VLOOKUP(Table4[[#This Row],[reference]],listeMarchandises[],7,FALSE))</f>
        <v>283656208</v>
      </c>
      <c r="J17" t="str">
        <f>IF(Table4[[#This Row],[valeur]]&lt;=Table4[[#This Row],[seuil d''alerte]],"stock faible","stock normal")</f>
        <v>stock normal</v>
      </c>
    </row>
    <row r="18" spans="1:10" x14ac:dyDescent="0.25">
      <c r="A18" t="s">
        <v>45</v>
      </c>
      <c r="B18" t="str">
        <f>VLOOKUP(Table4[[#This Row],[reference]],listeMarchandises[],2,FALSE)</f>
        <v>Batterie electronique 004</v>
      </c>
      <c r="C18" t="str">
        <f>VLOOKUP(Table4[[#This Row],[reference]],listeMarchandises[],3,FALSE)</f>
        <v>Instrument de musique</v>
      </c>
      <c r="D18">
        <f>VLOOKUP(Table4[[#This Row],[reference]],listeMarchandises[],4,FALSE)</f>
        <v>19</v>
      </c>
      <c r="E18">
        <f>VLOOKUP(Table4[[#This Row],[reference]],listeMarchandises[],6,FALSE)</f>
        <v>264</v>
      </c>
      <c r="F18">
        <f>SUMIF(listeEntrées[Reference],Table4[[#This Row],[reference]],listeEntrées[Quantite])</f>
        <v>0</v>
      </c>
      <c r="G18">
        <f>SUMIF(listeSorties[Reference],Table4[[#This Row],[reference]],listeSorties[Quantite])</f>
        <v>63</v>
      </c>
      <c r="H18">
        <f>Table4[[#This Row],[stock initial]]+Table4[[#This Row],[entrees]]-Table4[[#This Row],[sorties]]</f>
        <v>201</v>
      </c>
      <c r="I18">
        <f>Table4[[#This Row],[stock final]]*(VLOOKUP(Table4[[#This Row],[reference]],listeMarchandises[],7,FALSE))</f>
        <v>245616816.20999998</v>
      </c>
      <c r="J18" t="str">
        <f>IF(Table4[[#This Row],[valeur]]&lt;=Table4[[#This Row],[seuil d''alerte]],"stock faible","stock normal")</f>
        <v>stock normal</v>
      </c>
    </row>
    <row r="19" spans="1:10" x14ac:dyDescent="0.25">
      <c r="A19" t="s">
        <v>47</v>
      </c>
      <c r="B19" t="str">
        <f>VLOOKUP(Table4[[#This Row],[reference]],listeMarchandises[],2,FALSE)</f>
        <v>Refrigerateur 005</v>
      </c>
      <c r="C19" t="str">
        <f>VLOOKUP(Table4[[#This Row],[reference]],listeMarchandises[],3,FALSE)</f>
        <v>Electromenager</v>
      </c>
      <c r="D19">
        <f>VLOOKUP(Table4[[#This Row],[reference]],listeMarchandises[],4,FALSE)</f>
        <v>7</v>
      </c>
      <c r="E19">
        <f>VLOOKUP(Table4[[#This Row],[reference]],listeMarchandises[],6,FALSE)</f>
        <v>302</v>
      </c>
      <c r="F19">
        <f>SUMIF(listeEntrées[Reference],Table4[[#This Row],[reference]],listeEntrées[Quantite])</f>
        <v>55</v>
      </c>
      <c r="G19">
        <f>SUMIF(listeSorties[Reference],Table4[[#This Row],[reference]],listeSorties[Quantite])</f>
        <v>105</v>
      </c>
      <c r="H19">
        <f>Table4[[#This Row],[stock initial]]+Table4[[#This Row],[entrees]]-Table4[[#This Row],[sorties]]</f>
        <v>252</v>
      </c>
      <c r="I19">
        <f>Table4[[#This Row],[stock final]]*(VLOOKUP(Table4[[#This Row],[reference]],listeMarchandises[],7,FALSE))</f>
        <v>16212687.119999999</v>
      </c>
      <c r="J19" t="str">
        <f>IF(Table4[[#This Row],[valeur]]&lt;=Table4[[#This Row],[seuil d''alerte]],"stock faible","stock normal")</f>
        <v>stock normal</v>
      </c>
    </row>
    <row r="20" spans="1:10" x14ac:dyDescent="0.25">
      <c r="A20" t="s">
        <v>49</v>
      </c>
      <c r="B20" t="str">
        <f>VLOOKUP(Table4[[#This Row],[reference]],listeMarchandises[],2,FALSE)</f>
        <v>Fer a repasser 006</v>
      </c>
      <c r="C20" t="str">
        <f>VLOOKUP(Table4[[#This Row],[reference]],listeMarchandises[],3,FALSE)</f>
        <v>Electromenager</v>
      </c>
      <c r="D20">
        <f>VLOOKUP(Table4[[#This Row],[reference]],listeMarchandises[],4,FALSE)</f>
        <v>4</v>
      </c>
      <c r="E20">
        <f>VLOOKUP(Table4[[#This Row],[reference]],listeMarchandises[],6,FALSE)</f>
        <v>306</v>
      </c>
      <c r="F20">
        <f>SUMIF(listeEntrées[Reference],Table4[[#This Row],[reference]],listeEntrées[Quantite])</f>
        <v>0</v>
      </c>
      <c r="G20">
        <f>SUMIF(listeSorties[Reference],Table4[[#This Row],[reference]],listeSorties[Quantite])</f>
        <v>0</v>
      </c>
      <c r="H20">
        <f>Table4[[#This Row],[stock initial]]+Table4[[#This Row],[entrees]]-Table4[[#This Row],[sorties]]</f>
        <v>306</v>
      </c>
      <c r="I20">
        <f>Table4[[#This Row],[stock final]]*(VLOOKUP(Table4[[#This Row],[reference]],listeMarchandises[],7,FALSE))</f>
        <v>80959971.420000002</v>
      </c>
      <c r="J20" t="str">
        <f>IF(Table4[[#This Row],[valeur]]&lt;=Table4[[#This Row],[seuil d''alerte]],"stock faible","stock normal")</f>
        <v>stock normal</v>
      </c>
    </row>
    <row r="21" spans="1:10" x14ac:dyDescent="0.25">
      <c r="A21" t="s">
        <v>51</v>
      </c>
      <c r="B21" t="str">
        <f>VLOOKUP(Table4[[#This Row],[reference]],listeMarchandises[],2,FALSE)</f>
        <v>Refrigerateur 007</v>
      </c>
      <c r="C21" t="str">
        <f>VLOOKUP(Table4[[#This Row],[reference]],listeMarchandises[],3,FALSE)</f>
        <v>Electromenager</v>
      </c>
      <c r="D21">
        <f>VLOOKUP(Table4[[#This Row],[reference]],listeMarchandises[],4,FALSE)</f>
        <v>16</v>
      </c>
      <c r="E21">
        <f>VLOOKUP(Table4[[#This Row],[reference]],listeMarchandises[],6,FALSE)</f>
        <v>45</v>
      </c>
      <c r="F21">
        <f>SUMIF(listeEntrées[Reference],Table4[[#This Row],[reference]],listeEntrées[Quantite])</f>
        <v>15</v>
      </c>
      <c r="G21">
        <f>SUMIF(listeSorties[Reference],Table4[[#This Row],[reference]],listeSorties[Quantite])</f>
        <v>68</v>
      </c>
      <c r="H21">
        <f>Table4[[#This Row],[stock initial]]+Table4[[#This Row],[entrees]]-Table4[[#This Row],[sorties]]</f>
        <v>-8</v>
      </c>
      <c r="I21">
        <f>Table4[[#This Row],[stock final]]*(VLOOKUP(Table4[[#This Row],[reference]],listeMarchandises[],7,FALSE))</f>
        <v>-3116569.36</v>
      </c>
      <c r="J21" t="str">
        <f>IF(Table4[[#This Row],[valeur]]&lt;=Table4[[#This Row],[seuil d''alerte]],"stock faible","stock normal")</f>
        <v>stock faible</v>
      </c>
    </row>
    <row r="22" spans="1:10" x14ac:dyDescent="0.25">
      <c r="A22" t="s">
        <v>53</v>
      </c>
      <c r="B22" t="str">
        <f>VLOOKUP(Table4[[#This Row],[reference]],listeMarchandises[],2,FALSE)</f>
        <v>Piano numerique 005</v>
      </c>
      <c r="C22" t="str">
        <f>VLOOKUP(Table4[[#This Row],[reference]],listeMarchandises[],3,FALSE)</f>
        <v>Instrument de musique</v>
      </c>
      <c r="D22">
        <f>VLOOKUP(Table4[[#This Row],[reference]],listeMarchandises[],4,FALSE)</f>
        <v>5</v>
      </c>
      <c r="E22">
        <f>VLOOKUP(Table4[[#This Row],[reference]],listeMarchandises[],6,FALSE)</f>
        <v>159</v>
      </c>
      <c r="F22">
        <f>SUMIF(listeEntrées[Reference],Table4[[#This Row],[reference]],listeEntrées[Quantite])</f>
        <v>0</v>
      </c>
      <c r="G22">
        <f>SUMIF(listeSorties[Reference],Table4[[#This Row],[reference]],listeSorties[Quantite])</f>
        <v>19</v>
      </c>
      <c r="H22">
        <f>Table4[[#This Row],[stock initial]]+Table4[[#This Row],[entrees]]-Table4[[#This Row],[sorties]]</f>
        <v>140</v>
      </c>
      <c r="I22">
        <f>Table4[[#This Row],[stock final]]*(VLOOKUP(Table4[[#This Row],[reference]],listeMarchandises[],7,FALSE))</f>
        <v>51943735.199999996</v>
      </c>
      <c r="J22" t="str">
        <f>IF(Table4[[#This Row],[valeur]]&lt;=Table4[[#This Row],[seuil d''alerte]],"stock faible","stock normal")</f>
        <v>stock normal</v>
      </c>
    </row>
    <row r="23" spans="1:10" x14ac:dyDescent="0.25">
      <c r="A23" t="s">
        <v>55</v>
      </c>
      <c r="B23" t="str">
        <f>VLOOKUP(Table4[[#This Row],[reference]],listeMarchandises[],2,FALSE)</f>
        <v>Congelateur 008</v>
      </c>
      <c r="C23" t="str">
        <f>VLOOKUP(Table4[[#This Row],[reference]],listeMarchandises[],3,FALSE)</f>
        <v>Electromenager</v>
      </c>
      <c r="D23">
        <f>VLOOKUP(Table4[[#This Row],[reference]],listeMarchandises[],4,FALSE)</f>
        <v>22</v>
      </c>
      <c r="E23">
        <f>VLOOKUP(Table4[[#This Row],[reference]],listeMarchandises[],6,FALSE)</f>
        <v>43</v>
      </c>
      <c r="F23">
        <f>SUMIF(listeEntrées[Reference],Table4[[#This Row],[reference]],listeEntrées[Quantite])</f>
        <v>86</v>
      </c>
      <c r="G23">
        <f>SUMIF(listeSorties[Reference],Table4[[#This Row],[reference]],listeSorties[Quantite])</f>
        <v>18</v>
      </c>
      <c r="H23">
        <f>Table4[[#This Row],[stock initial]]+Table4[[#This Row],[entrees]]-Table4[[#This Row],[sorties]]</f>
        <v>111</v>
      </c>
      <c r="I23">
        <f>Table4[[#This Row],[stock final]]*(VLOOKUP(Table4[[#This Row],[reference]],listeMarchandises[],7,FALSE))</f>
        <v>117946056.99000001</v>
      </c>
      <c r="J23" t="str">
        <f>IF(Table4[[#This Row],[valeur]]&lt;=Table4[[#This Row],[seuil d''alerte]],"stock faible","stock normal")</f>
        <v>stock normal</v>
      </c>
    </row>
    <row r="24" spans="1:10" x14ac:dyDescent="0.25">
      <c r="A24" t="s">
        <v>57</v>
      </c>
      <c r="B24" t="str">
        <f>VLOOKUP(Table4[[#This Row],[reference]],listeMarchandises[],2,FALSE)</f>
        <v>Clavier arrangeur 006</v>
      </c>
      <c r="C24" t="str">
        <f>VLOOKUP(Table4[[#This Row],[reference]],listeMarchandises[],3,FALSE)</f>
        <v>Instrument de musique</v>
      </c>
      <c r="D24">
        <f>VLOOKUP(Table4[[#This Row],[reference]],listeMarchandises[],4,FALSE)</f>
        <v>3</v>
      </c>
      <c r="E24">
        <f>VLOOKUP(Table4[[#This Row],[reference]],listeMarchandises[],6,FALSE)</f>
        <v>149</v>
      </c>
      <c r="F24">
        <f>SUMIF(listeEntrées[Reference],Table4[[#This Row],[reference]],listeEntrées[Quantite])</f>
        <v>85</v>
      </c>
      <c r="G24">
        <f>SUMIF(listeSorties[Reference],Table4[[#This Row],[reference]],listeSorties[Quantite])</f>
        <v>14</v>
      </c>
      <c r="H24">
        <f>Table4[[#This Row],[stock initial]]+Table4[[#This Row],[entrees]]-Table4[[#This Row],[sorties]]</f>
        <v>220</v>
      </c>
      <c r="I24">
        <f>Table4[[#This Row],[stock final]]*(VLOOKUP(Table4[[#This Row],[reference]],listeMarchandises[],7,FALSE))</f>
        <v>220345193.20000002</v>
      </c>
      <c r="J24" t="str">
        <f>IF(Table4[[#This Row],[valeur]]&lt;=Table4[[#This Row],[seuil d''alerte]],"stock faible","stock normal")</f>
        <v>stock normal</v>
      </c>
    </row>
    <row r="25" spans="1:10" x14ac:dyDescent="0.25">
      <c r="A25" t="s">
        <v>59</v>
      </c>
      <c r="B25" t="str">
        <f>VLOOKUP(Table4[[#This Row],[reference]],listeMarchandises[],2,FALSE)</f>
        <v>Groupe silencieux 6kVA 005</v>
      </c>
      <c r="C25" t="str">
        <f>VLOOKUP(Table4[[#This Row],[reference]],listeMarchandises[],3,FALSE)</f>
        <v>Groupe electrogene</v>
      </c>
      <c r="D25">
        <f>VLOOKUP(Table4[[#This Row],[reference]],listeMarchandises[],4,FALSE)</f>
        <v>15</v>
      </c>
      <c r="E25">
        <f>VLOOKUP(Table4[[#This Row],[reference]],listeMarchandises[],6,FALSE)</f>
        <v>34</v>
      </c>
      <c r="F25">
        <f>SUMIF(listeEntrées[Reference],Table4[[#This Row],[reference]],listeEntrées[Quantite])</f>
        <v>0</v>
      </c>
      <c r="G25">
        <f>SUMIF(listeSorties[Reference],Table4[[#This Row],[reference]],listeSorties[Quantite])</f>
        <v>0</v>
      </c>
      <c r="H25">
        <f>Table4[[#This Row],[stock initial]]+Table4[[#This Row],[entrees]]-Table4[[#This Row],[sorties]]</f>
        <v>34</v>
      </c>
      <c r="I25">
        <f>Table4[[#This Row],[stock final]]*(VLOOKUP(Table4[[#This Row],[reference]],listeMarchandises[],7,FALSE))</f>
        <v>22859109.84</v>
      </c>
      <c r="J25" t="str">
        <f>IF(Table4[[#This Row],[valeur]]&lt;=Table4[[#This Row],[seuil d''alerte]],"stock faible","stock normal")</f>
        <v>stock normal</v>
      </c>
    </row>
    <row r="26" spans="1:10" x14ac:dyDescent="0.25">
      <c r="A26" t="s">
        <v>61</v>
      </c>
      <c r="B26" t="str">
        <f>VLOOKUP(Table4[[#This Row],[reference]],listeMarchandises[],2,FALSE)</f>
        <v>Smartphone Lite 006</v>
      </c>
      <c r="C26" t="str">
        <f>VLOOKUP(Table4[[#This Row],[reference]],listeMarchandises[],3,FALSE)</f>
        <v>Smartphone</v>
      </c>
      <c r="D26">
        <f>VLOOKUP(Table4[[#This Row],[reference]],listeMarchandises[],4,FALSE)</f>
        <v>10</v>
      </c>
      <c r="E26">
        <f>VLOOKUP(Table4[[#This Row],[reference]],listeMarchandises[],6,FALSE)</f>
        <v>171</v>
      </c>
      <c r="F26">
        <f>SUMIF(listeEntrées[Reference],Table4[[#This Row],[reference]],listeEntrées[Quantite])</f>
        <v>80</v>
      </c>
      <c r="G26">
        <f>SUMIF(listeSorties[Reference],Table4[[#This Row],[reference]],listeSorties[Quantite])</f>
        <v>93</v>
      </c>
      <c r="H26">
        <f>Table4[[#This Row],[stock initial]]+Table4[[#This Row],[entrees]]-Table4[[#This Row],[sorties]]</f>
        <v>158</v>
      </c>
      <c r="I26">
        <f>Table4[[#This Row],[stock final]]*(VLOOKUP(Table4[[#This Row],[reference]],listeMarchandises[],7,FALSE))</f>
        <v>68925103.140000001</v>
      </c>
      <c r="J26" t="str">
        <f>IF(Table4[[#This Row],[valeur]]&lt;=Table4[[#This Row],[seuil d''alerte]],"stock faible","stock normal")</f>
        <v>stock normal</v>
      </c>
    </row>
    <row r="27" spans="1:10" x14ac:dyDescent="0.25">
      <c r="A27" t="s">
        <v>63</v>
      </c>
      <c r="B27" t="str">
        <f>VLOOKUP(Table4[[#This Row],[reference]],listeMarchandises[],2,FALSE)</f>
        <v>Violon etude 007</v>
      </c>
      <c r="C27" t="str">
        <f>VLOOKUP(Table4[[#This Row],[reference]],listeMarchandises[],3,FALSE)</f>
        <v>Instrument de musique</v>
      </c>
      <c r="D27">
        <f>VLOOKUP(Table4[[#This Row],[reference]],listeMarchandises[],4,FALSE)</f>
        <v>22</v>
      </c>
      <c r="E27">
        <f>VLOOKUP(Table4[[#This Row],[reference]],listeMarchandises[],6,FALSE)</f>
        <v>188</v>
      </c>
      <c r="F27">
        <f>SUMIF(listeEntrées[Reference],Table4[[#This Row],[reference]],listeEntrées[Quantite])</f>
        <v>256</v>
      </c>
      <c r="G27">
        <f>SUMIF(listeSorties[Reference],Table4[[#This Row],[reference]],listeSorties[Quantite])</f>
        <v>23</v>
      </c>
      <c r="H27">
        <f>Table4[[#This Row],[stock initial]]+Table4[[#This Row],[entrees]]-Table4[[#This Row],[sorties]]</f>
        <v>421</v>
      </c>
      <c r="I27">
        <f>Table4[[#This Row],[stock final]]*(VLOOKUP(Table4[[#This Row],[reference]],listeMarchandises[],7,FALSE))</f>
        <v>594325489.5</v>
      </c>
      <c r="J27" t="str">
        <f>IF(Table4[[#This Row],[valeur]]&lt;=Table4[[#This Row],[seuil d''alerte]],"stock faible","stock normal")</f>
        <v>stock normal</v>
      </c>
    </row>
    <row r="28" spans="1:10" x14ac:dyDescent="0.25">
      <c r="A28" t="s">
        <v>65</v>
      </c>
      <c r="B28" t="str">
        <f>VLOOKUP(Table4[[#This Row],[reference]],listeMarchandises[],2,FALSE)</f>
        <v>Lave-linge 009</v>
      </c>
      <c r="C28" t="str">
        <f>VLOOKUP(Table4[[#This Row],[reference]],listeMarchandises[],3,FALSE)</f>
        <v>Electromenager</v>
      </c>
      <c r="D28">
        <f>VLOOKUP(Table4[[#This Row],[reference]],listeMarchandises[],4,FALSE)</f>
        <v>25</v>
      </c>
      <c r="E28">
        <f>VLOOKUP(Table4[[#This Row],[reference]],listeMarchandises[],6,FALSE)</f>
        <v>52</v>
      </c>
      <c r="F28">
        <f>SUMIF(listeEntrées[Reference],Table4[[#This Row],[reference]],listeEntrées[Quantite])</f>
        <v>0</v>
      </c>
      <c r="G28">
        <f>SUMIF(listeSorties[Reference],Table4[[#This Row],[reference]],listeSorties[Quantite])</f>
        <v>73</v>
      </c>
      <c r="H28">
        <f>Table4[[#This Row],[stock initial]]+Table4[[#This Row],[entrees]]-Table4[[#This Row],[sorties]]</f>
        <v>-21</v>
      </c>
      <c r="I28">
        <f>Table4[[#This Row],[stock final]]*(VLOOKUP(Table4[[#This Row],[reference]],listeMarchandises[],7,FALSE))</f>
        <v>-1724786.7</v>
      </c>
      <c r="J28" t="str">
        <f>IF(Table4[[#This Row],[valeur]]&lt;=Table4[[#This Row],[seuil d''alerte]],"stock faible","stock normal")</f>
        <v>stock faible</v>
      </c>
    </row>
    <row r="29" spans="1:10" x14ac:dyDescent="0.25">
      <c r="A29" t="s">
        <v>67</v>
      </c>
      <c r="B29" t="str">
        <f>VLOOKUP(Table4[[#This Row],[reference]],listeMarchandises[],2,FALSE)</f>
        <v>Piano numerique 008</v>
      </c>
      <c r="C29" t="str">
        <f>VLOOKUP(Table4[[#This Row],[reference]],listeMarchandises[],3,FALSE)</f>
        <v>Instrument de musique</v>
      </c>
      <c r="D29">
        <f>VLOOKUP(Table4[[#This Row],[reference]],listeMarchandises[],4,FALSE)</f>
        <v>13</v>
      </c>
      <c r="E29">
        <f>VLOOKUP(Table4[[#This Row],[reference]],listeMarchandises[],6,FALSE)</f>
        <v>52</v>
      </c>
      <c r="F29">
        <f>SUMIF(listeEntrées[Reference],Table4[[#This Row],[reference]],listeEntrées[Quantite])</f>
        <v>176</v>
      </c>
      <c r="G29">
        <f>SUMIF(listeSorties[Reference],Table4[[#This Row],[reference]],listeSorties[Quantite])</f>
        <v>205</v>
      </c>
      <c r="H29">
        <f>Table4[[#This Row],[stock initial]]+Table4[[#This Row],[entrees]]-Table4[[#This Row],[sorties]]</f>
        <v>23</v>
      </c>
      <c r="I29">
        <f>Table4[[#This Row],[stock final]]*(VLOOKUP(Table4[[#This Row],[reference]],listeMarchandises[],7,FALSE))</f>
        <v>9955696.0499999989</v>
      </c>
      <c r="J29" t="str">
        <f>IF(Table4[[#This Row],[valeur]]&lt;=Table4[[#This Row],[seuil d''alerte]],"stock faible","stock normal")</f>
        <v>stock normal</v>
      </c>
    </row>
    <row r="30" spans="1:10" x14ac:dyDescent="0.25">
      <c r="A30" t="s">
        <v>69</v>
      </c>
      <c r="B30" t="str">
        <f>VLOOKUP(Table4[[#This Row],[reference]],listeMarchandises[],2,FALSE)</f>
        <v>Groupe 12kVA 006</v>
      </c>
      <c r="C30" t="str">
        <f>VLOOKUP(Table4[[#This Row],[reference]],listeMarchandises[],3,FALSE)</f>
        <v>Groupe electrogene</v>
      </c>
      <c r="D30">
        <f>VLOOKUP(Table4[[#This Row],[reference]],listeMarchandises[],4,FALSE)</f>
        <v>18</v>
      </c>
      <c r="E30">
        <f>VLOOKUP(Table4[[#This Row],[reference]],listeMarchandises[],6,FALSE)</f>
        <v>134</v>
      </c>
      <c r="F30">
        <f>SUMIF(listeEntrées[Reference],Table4[[#This Row],[reference]],listeEntrées[Quantite])</f>
        <v>168</v>
      </c>
      <c r="G30">
        <f>SUMIF(listeSorties[Reference],Table4[[#This Row],[reference]],listeSorties[Quantite])</f>
        <v>19</v>
      </c>
      <c r="H30">
        <f>Table4[[#This Row],[stock initial]]+Table4[[#This Row],[entrees]]-Table4[[#This Row],[sorties]]</f>
        <v>283</v>
      </c>
      <c r="I30">
        <f>Table4[[#This Row],[stock final]]*(VLOOKUP(Table4[[#This Row],[reference]],listeMarchandises[],7,FALSE))</f>
        <v>772087768.38999999</v>
      </c>
      <c r="J30" t="str">
        <f>IF(Table4[[#This Row],[valeur]]&lt;=Table4[[#This Row],[seuil d''alerte]],"stock faible","stock normal")</f>
        <v>stock normal</v>
      </c>
    </row>
    <row r="31" spans="1:10" x14ac:dyDescent="0.25">
      <c r="A31" t="s">
        <v>71</v>
      </c>
      <c r="B31" t="str">
        <f>VLOOKUP(Table4[[#This Row],[reference]],listeMarchandises[],2,FALSE)</f>
        <v>Smartphone Alpha 007</v>
      </c>
      <c r="C31" t="str">
        <f>VLOOKUP(Table4[[#This Row],[reference]],listeMarchandises[],3,FALSE)</f>
        <v>Smartphone</v>
      </c>
      <c r="D31">
        <f>VLOOKUP(Table4[[#This Row],[reference]],listeMarchandises[],4,FALSE)</f>
        <v>19</v>
      </c>
      <c r="E31">
        <f>VLOOKUP(Table4[[#This Row],[reference]],listeMarchandises[],6,FALSE)</f>
        <v>75</v>
      </c>
      <c r="F31">
        <f>SUMIF(listeEntrées[Reference],Table4[[#This Row],[reference]],listeEntrées[Quantite])</f>
        <v>72</v>
      </c>
      <c r="G31">
        <f>SUMIF(listeSorties[Reference],Table4[[#This Row],[reference]],listeSorties[Quantite])</f>
        <v>63</v>
      </c>
      <c r="H31">
        <f>Table4[[#This Row],[stock initial]]+Table4[[#This Row],[entrees]]-Table4[[#This Row],[sorties]]</f>
        <v>84</v>
      </c>
      <c r="I31">
        <f>Table4[[#This Row],[stock final]]*(VLOOKUP(Table4[[#This Row],[reference]],listeMarchandises[],7,FALSE))</f>
        <v>19949430.48</v>
      </c>
      <c r="J31" t="str">
        <f>IF(Table4[[#This Row],[valeur]]&lt;=Table4[[#This Row],[seuil d''alerte]],"stock faible","stock normal")</f>
        <v>stock normal</v>
      </c>
    </row>
    <row r="32" spans="1:10" x14ac:dyDescent="0.25">
      <c r="A32" t="s">
        <v>73</v>
      </c>
      <c r="B32" t="str">
        <f>VLOOKUP(Table4[[#This Row],[reference]],listeMarchandises[],2,FALSE)</f>
        <v>Smartphone Nova 008</v>
      </c>
      <c r="C32" t="str">
        <f>VLOOKUP(Table4[[#This Row],[reference]],listeMarchandises[],3,FALSE)</f>
        <v>Smartphone</v>
      </c>
      <c r="D32">
        <f>VLOOKUP(Table4[[#This Row],[reference]],listeMarchandises[],4,FALSE)</f>
        <v>6</v>
      </c>
      <c r="E32">
        <f>VLOOKUP(Table4[[#This Row],[reference]],listeMarchandises[],6,FALSE)</f>
        <v>84</v>
      </c>
      <c r="F32">
        <f>SUMIF(listeEntrées[Reference],Table4[[#This Row],[reference]],listeEntrées[Quantite])</f>
        <v>35</v>
      </c>
      <c r="G32">
        <f>SUMIF(listeSorties[Reference],Table4[[#This Row],[reference]],listeSorties[Quantite])</f>
        <v>335</v>
      </c>
      <c r="H32">
        <f>Table4[[#This Row],[stock initial]]+Table4[[#This Row],[entrees]]-Table4[[#This Row],[sorties]]</f>
        <v>-216</v>
      </c>
      <c r="I32">
        <f>Table4[[#This Row],[stock final]]*(VLOOKUP(Table4[[#This Row],[reference]],listeMarchandises[],7,FALSE))</f>
        <v>-199605228.48000002</v>
      </c>
      <c r="J32" t="str">
        <f>IF(Table4[[#This Row],[valeur]]&lt;=Table4[[#This Row],[seuil d''alerte]],"stock faible","stock normal")</f>
        <v>stock faible</v>
      </c>
    </row>
    <row r="33" spans="1:10" x14ac:dyDescent="0.25">
      <c r="A33" t="s">
        <v>75</v>
      </c>
      <c r="B33" t="str">
        <f>VLOOKUP(Table4[[#This Row],[reference]],listeMarchandises[],2,FALSE)</f>
        <v>Smartphone Alpha 009</v>
      </c>
      <c r="C33" t="str">
        <f>VLOOKUP(Table4[[#This Row],[reference]],listeMarchandises[],3,FALSE)</f>
        <v>Smartphone</v>
      </c>
      <c r="D33">
        <f>VLOOKUP(Table4[[#This Row],[reference]],listeMarchandises[],4,FALSE)</f>
        <v>22</v>
      </c>
      <c r="E33">
        <f>VLOOKUP(Table4[[#This Row],[reference]],listeMarchandises[],6,FALSE)</f>
        <v>304</v>
      </c>
      <c r="F33">
        <f>SUMIF(listeEntrées[Reference],Table4[[#This Row],[reference]],listeEntrées[Quantite])</f>
        <v>72</v>
      </c>
      <c r="G33">
        <f>SUMIF(listeSorties[Reference],Table4[[#This Row],[reference]],listeSorties[Quantite])</f>
        <v>0</v>
      </c>
      <c r="H33">
        <f>Table4[[#This Row],[stock initial]]+Table4[[#This Row],[entrees]]-Table4[[#This Row],[sorties]]</f>
        <v>376</v>
      </c>
      <c r="I33">
        <f>Table4[[#This Row],[stock final]]*(VLOOKUP(Table4[[#This Row],[reference]],listeMarchandises[],7,FALSE))</f>
        <v>124506500.56</v>
      </c>
      <c r="J33" t="str">
        <f>IF(Table4[[#This Row],[valeur]]&lt;=Table4[[#This Row],[seuil d''alerte]],"stock faible","stock normal")</f>
        <v>stock normal</v>
      </c>
    </row>
    <row r="34" spans="1:10" x14ac:dyDescent="0.25">
      <c r="A34" t="s">
        <v>77</v>
      </c>
      <c r="B34" t="str">
        <f>VLOOKUP(Table4[[#This Row],[reference]],listeMarchandises[],2,FALSE)</f>
        <v>Smartphone Ultra 010</v>
      </c>
      <c r="C34" t="str">
        <f>VLOOKUP(Table4[[#This Row],[reference]],listeMarchandises[],3,FALSE)</f>
        <v>Smartphone</v>
      </c>
      <c r="D34">
        <f>VLOOKUP(Table4[[#This Row],[reference]],listeMarchandises[],4,FALSE)</f>
        <v>4</v>
      </c>
      <c r="E34">
        <f>VLOOKUP(Table4[[#This Row],[reference]],listeMarchandises[],6,FALSE)</f>
        <v>36</v>
      </c>
      <c r="F34">
        <f>SUMIF(listeEntrées[Reference],Table4[[#This Row],[reference]],listeEntrées[Quantite])</f>
        <v>111</v>
      </c>
      <c r="G34">
        <f>SUMIF(listeSorties[Reference],Table4[[#This Row],[reference]],listeSorties[Quantite])</f>
        <v>177</v>
      </c>
      <c r="H34">
        <f>Table4[[#This Row],[stock initial]]+Table4[[#This Row],[entrees]]-Table4[[#This Row],[sorties]]</f>
        <v>-30</v>
      </c>
      <c r="I34">
        <f>Table4[[#This Row],[stock final]]*(VLOOKUP(Table4[[#This Row],[reference]],listeMarchandises[],7,FALSE))</f>
        <v>-20099457.600000001</v>
      </c>
      <c r="J34" t="str">
        <f>IF(Table4[[#This Row],[valeur]]&lt;=Table4[[#This Row],[seuil d''alerte]],"stock faible","stock normal")</f>
        <v>stock faible</v>
      </c>
    </row>
    <row r="35" spans="1:10" x14ac:dyDescent="0.25">
      <c r="A35" t="s">
        <v>79</v>
      </c>
      <c r="B35" t="str">
        <f>VLOOKUP(Table4[[#This Row],[reference]],listeMarchandises[],2,FALSE)</f>
        <v>Mixeur 010</v>
      </c>
      <c r="C35" t="str">
        <f>VLOOKUP(Table4[[#This Row],[reference]],listeMarchandises[],3,FALSE)</f>
        <v>Electromenager</v>
      </c>
      <c r="D35">
        <f>VLOOKUP(Table4[[#This Row],[reference]],listeMarchandises[],4,FALSE)</f>
        <v>9</v>
      </c>
      <c r="E35">
        <f>VLOOKUP(Table4[[#This Row],[reference]],listeMarchandises[],6,FALSE)</f>
        <v>189</v>
      </c>
      <c r="F35">
        <f>SUMIF(listeEntrées[Reference],Table4[[#This Row],[reference]],listeEntrées[Quantite])</f>
        <v>43</v>
      </c>
      <c r="G35">
        <f>SUMIF(listeSorties[Reference],Table4[[#This Row],[reference]],listeSorties[Quantite])</f>
        <v>131</v>
      </c>
      <c r="H35">
        <f>Table4[[#This Row],[stock initial]]+Table4[[#This Row],[entrees]]-Table4[[#This Row],[sorties]]</f>
        <v>101</v>
      </c>
      <c r="I35">
        <f>Table4[[#This Row],[stock final]]*(VLOOKUP(Table4[[#This Row],[reference]],listeMarchandises[],7,FALSE))</f>
        <v>24956506.120000001</v>
      </c>
      <c r="J35" t="str">
        <f>IF(Table4[[#This Row],[valeur]]&lt;=Table4[[#This Row],[seuil d''alerte]],"stock faible","stock normal")</f>
        <v>stock normal</v>
      </c>
    </row>
    <row r="36" spans="1:10" x14ac:dyDescent="0.25">
      <c r="A36" t="s">
        <v>81</v>
      </c>
      <c r="B36" t="str">
        <f>VLOOKUP(Table4[[#This Row],[reference]],listeMarchandises[],2,FALSE)</f>
        <v>Refrigerateur 011</v>
      </c>
      <c r="C36" t="str">
        <f>VLOOKUP(Table4[[#This Row],[reference]],listeMarchandises[],3,FALSE)</f>
        <v>Electromenager</v>
      </c>
      <c r="D36">
        <f>VLOOKUP(Table4[[#This Row],[reference]],listeMarchandises[],4,FALSE)</f>
        <v>12</v>
      </c>
      <c r="E36">
        <f>VLOOKUP(Table4[[#This Row],[reference]],listeMarchandises[],6,FALSE)</f>
        <v>150</v>
      </c>
      <c r="F36">
        <f>SUMIF(listeEntrées[Reference],Table4[[#This Row],[reference]],listeEntrées[Quantite])</f>
        <v>46</v>
      </c>
      <c r="G36">
        <f>SUMIF(listeSorties[Reference],Table4[[#This Row],[reference]],listeSorties[Quantite])</f>
        <v>0</v>
      </c>
      <c r="H36">
        <f>Table4[[#This Row],[stock initial]]+Table4[[#This Row],[entrees]]-Table4[[#This Row],[sorties]]</f>
        <v>196</v>
      </c>
      <c r="I36">
        <f>Table4[[#This Row],[stock final]]*(VLOOKUP(Table4[[#This Row],[reference]],listeMarchandises[],7,FALSE))</f>
        <v>104395409.44</v>
      </c>
      <c r="J36" t="str">
        <f>IF(Table4[[#This Row],[valeur]]&lt;=Table4[[#This Row],[seuil d''alerte]],"stock faible","stock normal")</f>
        <v>stock normal</v>
      </c>
    </row>
    <row r="37" spans="1:10" x14ac:dyDescent="0.25">
      <c r="A37" t="s">
        <v>83</v>
      </c>
      <c r="B37" t="str">
        <f>VLOOKUP(Table4[[#This Row],[reference]],listeMarchandises[],2,FALSE)</f>
        <v>Clavier arrangeur 009</v>
      </c>
      <c r="C37" t="str">
        <f>VLOOKUP(Table4[[#This Row],[reference]],listeMarchandises[],3,FALSE)</f>
        <v>Instrument de musique</v>
      </c>
      <c r="D37">
        <f>VLOOKUP(Table4[[#This Row],[reference]],listeMarchandises[],4,FALSE)</f>
        <v>18</v>
      </c>
      <c r="E37">
        <f>VLOOKUP(Table4[[#This Row],[reference]],listeMarchandises[],6,FALSE)</f>
        <v>189</v>
      </c>
      <c r="F37">
        <f>SUMIF(listeEntrées[Reference],Table4[[#This Row],[reference]],listeEntrées[Quantite])</f>
        <v>389</v>
      </c>
      <c r="G37">
        <f>SUMIF(listeSorties[Reference],Table4[[#This Row],[reference]],listeSorties[Quantite])</f>
        <v>85</v>
      </c>
      <c r="H37">
        <f>Table4[[#This Row],[stock initial]]+Table4[[#This Row],[entrees]]-Table4[[#This Row],[sorties]]</f>
        <v>493</v>
      </c>
      <c r="I37">
        <f>Table4[[#This Row],[stock final]]*(VLOOKUP(Table4[[#This Row],[reference]],listeMarchandises[],7,FALSE))</f>
        <v>954373630.94999993</v>
      </c>
      <c r="J37" t="str">
        <f>IF(Table4[[#This Row],[valeur]]&lt;=Table4[[#This Row],[seuil d''alerte]],"stock faible","stock normal")</f>
        <v>stock normal</v>
      </c>
    </row>
    <row r="38" spans="1:10" x14ac:dyDescent="0.25">
      <c r="A38" t="s">
        <v>85</v>
      </c>
      <c r="B38" t="str">
        <f>VLOOKUP(Table4[[#This Row],[reference]],listeMarchandises[],2,FALSE)</f>
        <v>Groupe 8kVA 007</v>
      </c>
      <c r="C38" t="str">
        <f>VLOOKUP(Table4[[#This Row],[reference]],listeMarchandises[],3,FALSE)</f>
        <v>Groupe electrogene</v>
      </c>
      <c r="D38">
        <f>VLOOKUP(Table4[[#This Row],[reference]],listeMarchandises[],4,FALSE)</f>
        <v>21</v>
      </c>
      <c r="E38">
        <f>VLOOKUP(Table4[[#This Row],[reference]],listeMarchandises[],6,FALSE)</f>
        <v>268</v>
      </c>
      <c r="F38">
        <f>SUMIF(listeEntrées[Reference],Table4[[#This Row],[reference]],listeEntrées[Quantite])</f>
        <v>0</v>
      </c>
      <c r="G38">
        <f>SUMIF(listeSorties[Reference],Table4[[#This Row],[reference]],listeSorties[Quantite])</f>
        <v>102</v>
      </c>
      <c r="H38">
        <f>Table4[[#This Row],[stock initial]]+Table4[[#This Row],[entrees]]-Table4[[#This Row],[sorties]]</f>
        <v>166</v>
      </c>
      <c r="I38">
        <f>Table4[[#This Row],[stock final]]*(VLOOKUP(Table4[[#This Row],[reference]],listeMarchandises[],7,FALSE))</f>
        <v>534416304.78000003</v>
      </c>
      <c r="J38" t="str">
        <f>IF(Table4[[#This Row],[valeur]]&lt;=Table4[[#This Row],[seuil d''alerte]],"stock faible","stock normal")</f>
        <v>stock normal</v>
      </c>
    </row>
    <row r="39" spans="1:10" x14ac:dyDescent="0.25">
      <c r="A39" t="s">
        <v>87</v>
      </c>
      <c r="B39" t="str">
        <f>VLOOKUP(Table4[[#This Row],[reference]],listeMarchandises[],2,FALSE)</f>
        <v>Groupe 12kVA 008</v>
      </c>
      <c r="C39" t="str">
        <f>VLOOKUP(Table4[[#This Row],[reference]],listeMarchandises[],3,FALSE)</f>
        <v>Groupe electrogene</v>
      </c>
      <c r="D39">
        <f>VLOOKUP(Table4[[#This Row],[reference]],listeMarchandises[],4,FALSE)</f>
        <v>4</v>
      </c>
      <c r="E39">
        <f>VLOOKUP(Table4[[#This Row],[reference]],listeMarchandises[],6,FALSE)</f>
        <v>36</v>
      </c>
      <c r="F39">
        <f>SUMIF(listeEntrées[Reference],Table4[[#This Row],[reference]],listeEntrées[Quantite])</f>
        <v>136</v>
      </c>
      <c r="G39">
        <f>SUMIF(listeSorties[Reference],Table4[[#This Row],[reference]],listeSorties[Quantite])</f>
        <v>141</v>
      </c>
      <c r="H39">
        <f>Table4[[#This Row],[stock initial]]+Table4[[#This Row],[entrees]]-Table4[[#This Row],[sorties]]</f>
        <v>31</v>
      </c>
      <c r="I39">
        <f>Table4[[#This Row],[stock final]]*(VLOOKUP(Table4[[#This Row],[reference]],listeMarchandises[],7,FALSE))</f>
        <v>123755383.34</v>
      </c>
      <c r="J39" t="str">
        <f>IF(Table4[[#This Row],[valeur]]&lt;=Table4[[#This Row],[seuil d''alerte]],"stock faible","stock normal")</f>
        <v>stock normal</v>
      </c>
    </row>
    <row r="40" spans="1:10" x14ac:dyDescent="0.25">
      <c r="A40" t="s">
        <v>89</v>
      </c>
      <c r="B40" t="str">
        <f>VLOOKUP(Table4[[#This Row],[reference]],listeMarchandises[],2,FALSE)</f>
        <v>Groupe 5kVA 009</v>
      </c>
      <c r="C40" t="str">
        <f>VLOOKUP(Table4[[#This Row],[reference]],listeMarchandises[],3,FALSE)</f>
        <v>Groupe electrogene</v>
      </c>
      <c r="D40">
        <f>VLOOKUP(Table4[[#This Row],[reference]],listeMarchandises[],4,FALSE)</f>
        <v>22</v>
      </c>
      <c r="E40">
        <f>VLOOKUP(Table4[[#This Row],[reference]],listeMarchandises[],6,FALSE)</f>
        <v>178</v>
      </c>
      <c r="F40">
        <f>SUMIF(listeEntrées[Reference],Table4[[#This Row],[reference]],listeEntrées[Quantite])</f>
        <v>109</v>
      </c>
      <c r="G40">
        <f>SUMIF(listeSorties[Reference],Table4[[#This Row],[reference]],listeSorties[Quantite])</f>
        <v>30</v>
      </c>
      <c r="H40">
        <f>Table4[[#This Row],[stock initial]]+Table4[[#This Row],[entrees]]-Table4[[#This Row],[sorties]]</f>
        <v>257</v>
      </c>
      <c r="I40">
        <f>Table4[[#This Row],[stock final]]*(VLOOKUP(Table4[[#This Row],[reference]],listeMarchandises[],7,FALSE))</f>
        <v>298072341.92000002</v>
      </c>
      <c r="J40" t="str">
        <f>IF(Table4[[#This Row],[valeur]]&lt;=Table4[[#This Row],[seuil d''alerte]],"stock faible","stock normal")</f>
        <v>stock normal</v>
      </c>
    </row>
    <row r="41" spans="1:10" x14ac:dyDescent="0.25">
      <c r="A41" t="s">
        <v>91</v>
      </c>
      <c r="B41" t="str">
        <f>VLOOKUP(Table4[[#This Row],[reference]],listeMarchandises[],2,FALSE)</f>
        <v>Smartphone Ultra 011</v>
      </c>
      <c r="C41" t="str">
        <f>VLOOKUP(Table4[[#This Row],[reference]],listeMarchandises[],3,FALSE)</f>
        <v>Smartphone</v>
      </c>
      <c r="D41">
        <f>VLOOKUP(Table4[[#This Row],[reference]],listeMarchandises[],4,FALSE)</f>
        <v>11</v>
      </c>
      <c r="E41">
        <f>VLOOKUP(Table4[[#This Row],[reference]],listeMarchandises[],6,FALSE)</f>
        <v>274</v>
      </c>
      <c r="F41">
        <f>SUMIF(listeEntrées[Reference],Table4[[#This Row],[reference]],listeEntrées[Quantite])</f>
        <v>10</v>
      </c>
      <c r="G41">
        <f>SUMIF(listeSorties[Reference],Table4[[#This Row],[reference]],listeSorties[Quantite])</f>
        <v>21</v>
      </c>
      <c r="H41">
        <f>Table4[[#This Row],[stock initial]]+Table4[[#This Row],[entrees]]-Table4[[#This Row],[sorties]]</f>
        <v>263</v>
      </c>
      <c r="I41">
        <f>Table4[[#This Row],[stock final]]*(VLOOKUP(Table4[[#This Row],[reference]],listeMarchandises[],7,FALSE))</f>
        <v>306574715.79000002</v>
      </c>
      <c r="J41" t="str">
        <f>IF(Table4[[#This Row],[valeur]]&lt;=Table4[[#This Row],[seuil d''alerte]],"stock faible","stock normal")</f>
        <v>stock normal</v>
      </c>
    </row>
    <row r="42" spans="1:10" x14ac:dyDescent="0.25">
      <c r="A42" t="s">
        <v>93</v>
      </c>
      <c r="B42" t="str">
        <f>VLOOKUP(Table4[[#This Row],[reference]],listeMarchandises[],2,FALSE)</f>
        <v>Climatiseur 012</v>
      </c>
      <c r="C42" t="str">
        <f>VLOOKUP(Table4[[#This Row],[reference]],listeMarchandises[],3,FALSE)</f>
        <v>Electromenager</v>
      </c>
      <c r="D42">
        <f>VLOOKUP(Table4[[#This Row],[reference]],listeMarchandises[],4,FALSE)</f>
        <v>9</v>
      </c>
      <c r="E42">
        <f>VLOOKUP(Table4[[#This Row],[reference]],listeMarchandises[],6,FALSE)</f>
        <v>253</v>
      </c>
      <c r="F42">
        <f>SUMIF(listeEntrées[Reference],Table4[[#This Row],[reference]],listeEntrées[Quantite])</f>
        <v>170</v>
      </c>
      <c r="G42">
        <f>SUMIF(listeSorties[Reference],Table4[[#This Row],[reference]],listeSorties[Quantite])</f>
        <v>0</v>
      </c>
      <c r="H42">
        <f>Table4[[#This Row],[stock initial]]+Table4[[#This Row],[entrees]]-Table4[[#This Row],[sorties]]</f>
        <v>423</v>
      </c>
      <c r="I42">
        <f>Table4[[#This Row],[stock final]]*(VLOOKUP(Table4[[#This Row],[reference]],listeMarchandises[],7,FALSE))</f>
        <v>166935621.78</v>
      </c>
      <c r="J42" t="str">
        <f>IF(Table4[[#This Row],[valeur]]&lt;=Table4[[#This Row],[seuil d''alerte]],"stock faible","stock normal")</f>
        <v>stock normal</v>
      </c>
    </row>
    <row r="43" spans="1:10" x14ac:dyDescent="0.25">
      <c r="A43" t="s">
        <v>95</v>
      </c>
      <c r="B43" t="str">
        <f>VLOOKUP(Table4[[#This Row],[reference]],listeMarchandises[],2,FALSE)</f>
        <v>Congelateur 013</v>
      </c>
      <c r="C43" t="str">
        <f>VLOOKUP(Table4[[#This Row],[reference]],listeMarchandises[],3,FALSE)</f>
        <v>Electromenager</v>
      </c>
      <c r="D43">
        <f>VLOOKUP(Table4[[#This Row],[reference]],listeMarchandises[],4,FALSE)</f>
        <v>3</v>
      </c>
      <c r="E43">
        <f>VLOOKUP(Table4[[#This Row],[reference]],listeMarchandises[],6,FALSE)</f>
        <v>38</v>
      </c>
      <c r="F43">
        <f>SUMIF(listeEntrées[Reference],Table4[[#This Row],[reference]],listeEntrées[Quantite])</f>
        <v>192</v>
      </c>
      <c r="G43">
        <f>SUMIF(listeSorties[Reference],Table4[[#This Row],[reference]],listeSorties[Quantite])</f>
        <v>0</v>
      </c>
      <c r="H43">
        <f>Table4[[#This Row],[stock initial]]+Table4[[#This Row],[entrees]]-Table4[[#This Row],[sorties]]</f>
        <v>230</v>
      </c>
      <c r="I43">
        <f>Table4[[#This Row],[stock final]]*(VLOOKUP(Table4[[#This Row],[reference]],listeMarchandises[],7,FALSE))</f>
        <v>208548753.29999998</v>
      </c>
      <c r="J43" t="str">
        <f>IF(Table4[[#This Row],[valeur]]&lt;=Table4[[#This Row],[seuil d''alerte]],"stock faible","stock normal")</f>
        <v>stock normal</v>
      </c>
    </row>
    <row r="44" spans="1:10" x14ac:dyDescent="0.25">
      <c r="A44" t="s">
        <v>97</v>
      </c>
      <c r="B44" t="str">
        <f>VLOOKUP(Table4[[#This Row],[reference]],listeMarchandises[],2,FALSE)</f>
        <v>Lave-linge 014</v>
      </c>
      <c r="C44" t="str">
        <f>VLOOKUP(Table4[[#This Row],[reference]],listeMarchandises[],3,FALSE)</f>
        <v>Electromenager</v>
      </c>
      <c r="D44">
        <f>VLOOKUP(Table4[[#This Row],[reference]],listeMarchandises[],4,FALSE)</f>
        <v>15</v>
      </c>
      <c r="E44">
        <f>VLOOKUP(Table4[[#This Row],[reference]],listeMarchandises[],6,FALSE)</f>
        <v>348</v>
      </c>
      <c r="F44">
        <f>SUMIF(listeEntrées[Reference],Table4[[#This Row],[reference]],listeEntrées[Quantite])</f>
        <v>0</v>
      </c>
      <c r="G44">
        <f>SUMIF(listeSorties[Reference],Table4[[#This Row],[reference]],listeSorties[Quantite])</f>
        <v>0</v>
      </c>
      <c r="H44">
        <f>Table4[[#This Row],[stock initial]]+Table4[[#This Row],[entrees]]-Table4[[#This Row],[sorties]]</f>
        <v>348</v>
      </c>
      <c r="I44">
        <f>Table4[[#This Row],[stock final]]*(VLOOKUP(Table4[[#This Row],[reference]],listeMarchandises[],7,FALSE))</f>
        <v>399390263.15999997</v>
      </c>
      <c r="J44" t="str">
        <f>IF(Table4[[#This Row],[valeur]]&lt;=Table4[[#This Row],[seuil d''alerte]],"stock faible","stock normal")</f>
        <v>stock normal</v>
      </c>
    </row>
    <row r="45" spans="1:10" x14ac:dyDescent="0.25">
      <c r="A45" t="s">
        <v>99</v>
      </c>
      <c r="B45" t="str">
        <f>VLOOKUP(Table4[[#This Row],[reference]],listeMarchandises[],2,FALSE)</f>
        <v>Climatiseur 015</v>
      </c>
      <c r="C45" t="str">
        <f>VLOOKUP(Table4[[#This Row],[reference]],listeMarchandises[],3,FALSE)</f>
        <v>Electromenager</v>
      </c>
      <c r="D45">
        <f>VLOOKUP(Table4[[#This Row],[reference]],listeMarchandises[],4,FALSE)</f>
        <v>6</v>
      </c>
      <c r="E45">
        <f>VLOOKUP(Table4[[#This Row],[reference]],listeMarchandises[],6,FALSE)</f>
        <v>258</v>
      </c>
      <c r="F45">
        <f>SUMIF(listeEntrées[Reference],Table4[[#This Row],[reference]],listeEntrées[Quantite])</f>
        <v>20</v>
      </c>
      <c r="G45">
        <f>SUMIF(listeSorties[Reference],Table4[[#This Row],[reference]],listeSorties[Quantite])</f>
        <v>112</v>
      </c>
      <c r="H45">
        <f>Table4[[#This Row],[stock initial]]+Table4[[#This Row],[entrees]]-Table4[[#This Row],[sorties]]</f>
        <v>166</v>
      </c>
      <c r="I45">
        <f>Table4[[#This Row],[stock final]]*(VLOOKUP(Table4[[#This Row],[reference]],listeMarchandises[],7,FALSE))</f>
        <v>84361535.320000008</v>
      </c>
      <c r="J45" t="str">
        <f>IF(Table4[[#This Row],[valeur]]&lt;=Table4[[#This Row],[seuil d''alerte]],"stock faible","stock normal")</f>
        <v>stock normal</v>
      </c>
    </row>
    <row r="46" spans="1:10" x14ac:dyDescent="0.25">
      <c r="A46" t="s">
        <v>101</v>
      </c>
      <c r="B46" t="str">
        <f>VLOOKUP(Table4[[#This Row],[reference]],listeMarchandises[],2,FALSE)</f>
        <v>Smartphone Lite 012</v>
      </c>
      <c r="C46" t="str">
        <f>VLOOKUP(Table4[[#This Row],[reference]],listeMarchandises[],3,FALSE)</f>
        <v>Smartphone</v>
      </c>
      <c r="D46">
        <f>VLOOKUP(Table4[[#This Row],[reference]],listeMarchandises[],4,FALSE)</f>
        <v>11</v>
      </c>
      <c r="E46">
        <f>VLOOKUP(Table4[[#This Row],[reference]],listeMarchandises[],6,FALSE)</f>
        <v>321</v>
      </c>
      <c r="F46">
        <f>SUMIF(listeEntrées[Reference],Table4[[#This Row],[reference]],listeEntrées[Quantite])</f>
        <v>183</v>
      </c>
      <c r="G46">
        <f>SUMIF(listeSorties[Reference],Table4[[#This Row],[reference]],listeSorties[Quantite])</f>
        <v>0</v>
      </c>
      <c r="H46">
        <f>Table4[[#This Row],[stock initial]]+Table4[[#This Row],[entrees]]-Table4[[#This Row],[sorties]]</f>
        <v>504</v>
      </c>
      <c r="I46">
        <f>Table4[[#This Row],[stock final]]*(VLOOKUP(Table4[[#This Row],[reference]],listeMarchandises[],7,FALSE))</f>
        <v>240446611.44</v>
      </c>
      <c r="J46" t="str">
        <f>IF(Table4[[#This Row],[valeur]]&lt;=Table4[[#This Row],[seuil d''alerte]],"stock faible","stock normal")</f>
        <v>stock normal</v>
      </c>
    </row>
    <row r="47" spans="1:10" x14ac:dyDescent="0.25">
      <c r="A47" t="s">
        <v>103</v>
      </c>
      <c r="B47" t="str">
        <f>VLOOKUP(Table4[[#This Row],[reference]],listeMarchandises[],2,FALSE)</f>
        <v>Fer a repasser 016</v>
      </c>
      <c r="C47" t="str">
        <f>VLOOKUP(Table4[[#This Row],[reference]],listeMarchandises[],3,FALSE)</f>
        <v>Electromenager</v>
      </c>
      <c r="D47">
        <f>VLOOKUP(Table4[[#This Row],[reference]],listeMarchandises[],4,FALSE)</f>
        <v>23</v>
      </c>
      <c r="E47">
        <f>VLOOKUP(Table4[[#This Row],[reference]],listeMarchandises[],6,FALSE)</f>
        <v>63</v>
      </c>
      <c r="F47">
        <f>SUMIF(listeEntrées[Reference],Table4[[#This Row],[reference]],listeEntrées[Quantite])</f>
        <v>92</v>
      </c>
      <c r="G47">
        <f>SUMIF(listeSorties[Reference],Table4[[#This Row],[reference]],listeSorties[Quantite])</f>
        <v>0</v>
      </c>
      <c r="H47">
        <f>Table4[[#This Row],[stock initial]]+Table4[[#This Row],[entrees]]-Table4[[#This Row],[sorties]]</f>
        <v>155</v>
      </c>
      <c r="I47">
        <f>Table4[[#This Row],[stock final]]*(VLOOKUP(Table4[[#This Row],[reference]],listeMarchandises[],7,FALSE))</f>
        <v>74016556.349999994</v>
      </c>
      <c r="J47" t="str">
        <f>IF(Table4[[#This Row],[valeur]]&lt;=Table4[[#This Row],[seuil d''alerte]],"stock faible","stock normal")</f>
        <v>stock normal</v>
      </c>
    </row>
    <row r="48" spans="1:10" x14ac:dyDescent="0.25">
      <c r="A48" t="s">
        <v>105</v>
      </c>
      <c r="B48" t="str">
        <f>VLOOKUP(Table4[[#This Row],[reference]],listeMarchandises[],2,FALSE)</f>
        <v>Piano numerique 010</v>
      </c>
      <c r="C48" t="str">
        <f>VLOOKUP(Table4[[#This Row],[reference]],listeMarchandises[],3,FALSE)</f>
        <v>Instrument de musique</v>
      </c>
      <c r="D48">
        <f>VLOOKUP(Table4[[#This Row],[reference]],listeMarchandises[],4,FALSE)</f>
        <v>11</v>
      </c>
      <c r="E48">
        <f>VLOOKUP(Table4[[#This Row],[reference]],listeMarchandises[],6,FALSE)</f>
        <v>88</v>
      </c>
      <c r="F48">
        <f>SUMIF(listeEntrées[Reference],Table4[[#This Row],[reference]],listeEntrées[Quantite])</f>
        <v>15</v>
      </c>
      <c r="G48">
        <f>SUMIF(listeSorties[Reference],Table4[[#This Row],[reference]],listeSorties[Quantite])</f>
        <v>13</v>
      </c>
      <c r="H48">
        <f>Table4[[#This Row],[stock initial]]+Table4[[#This Row],[entrees]]-Table4[[#This Row],[sorties]]</f>
        <v>90</v>
      </c>
      <c r="I48">
        <f>Table4[[#This Row],[stock final]]*(VLOOKUP(Table4[[#This Row],[reference]],listeMarchandises[],7,FALSE))</f>
        <v>125468087.40000001</v>
      </c>
      <c r="J48" t="str">
        <f>IF(Table4[[#This Row],[valeur]]&lt;=Table4[[#This Row],[seuil d''alerte]],"stock faible","stock normal")</f>
        <v>stock normal</v>
      </c>
    </row>
    <row r="49" spans="1:10" x14ac:dyDescent="0.25">
      <c r="A49" t="s">
        <v>107</v>
      </c>
      <c r="B49" t="str">
        <f>VLOOKUP(Table4[[#This Row],[reference]],listeMarchandises[],2,FALSE)</f>
        <v>Groupe silencieux 6kVA 010</v>
      </c>
      <c r="C49" t="str">
        <f>VLOOKUP(Table4[[#This Row],[reference]],listeMarchandises[],3,FALSE)</f>
        <v>Groupe electrogene</v>
      </c>
      <c r="D49">
        <f>VLOOKUP(Table4[[#This Row],[reference]],listeMarchandises[],4,FALSE)</f>
        <v>10</v>
      </c>
      <c r="E49">
        <f>VLOOKUP(Table4[[#This Row],[reference]],listeMarchandises[],6,FALSE)</f>
        <v>351</v>
      </c>
      <c r="F49">
        <f>SUMIF(listeEntrées[Reference],Table4[[#This Row],[reference]],listeEntrées[Quantite])</f>
        <v>0</v>
      </c>
      <c r="G49">
        <f>SUMIF(listeSorties[Reference],Table4[[#This Row],[reference]],listeSorties[Quantite])</f>
        <v>50</v>
      </c>
      <c r="H49">
        <f>Table4[[#This Row],[stock initial]]+Table4[[#This Row],[entrees]]-Table4[[#This Row],[sorties]]</f>
        <v>301</v>
      </c>
      <c r="I49">
        <f>Table4[[#This Row],[stock final]]*(VLOOKUP(Table4[[#This Row],[reference]],listeMarchandises[],7,FALSE))</f>
        <v>720117971.50999999</v>
      </c>
      <c r="J49" t="str">
        <f>IF(Table4[[#This Row],[valeur]]&lt;=Table4[[#This Row],[seuil d''alerte]],"stock faible","stock normal")</f>
        <v>stock normal</v>
      </c>
    </row>
    <row r="50" spans="1:10" x14ac:dyDescent="0.25">
      <c r="A50" t="s">
        <v>109</v>
      </c>
      <c r="B50" t="str">
        <f>VLOOKUP(Table4[[#This Row],[reference]],listeMarchandises[],2,FALSE)</f>
        <v>Smartphone Lite 013</v>
      </c>
      <c r="C50" t="str">
        <f>VLOOKUP(Table4[[#This Row],[reference]],listeMarchandises[],3,FALSE)</f>
        <v>Smartphone</v>
      </c>
      <c r="D50">
        <f>VLOOKUP(Table4[[#This Row],[reference]],listeMarchandises[],4,FALSE)</f>
        <v>4</v>
      </c>
      <c r="E50">
        <f>VLOOKUP(Table4[[#This Row],[reference]],listeMarchandises[],6,FALSE)</f>
        <v>310</v>
      </c>
      <c r="F50">
        <f>SUMIF(listeEntrées[Reference],Table4[[#This Row],[reference]],listeEntrées[Quantite])</f>
        <v>233</v>
      </c>
      <c r="G50">
        <f>SUMIF(listeSorties[Reference],Table4[[#This Row],[reference]],listeSorties[Quantite])</f>
        <v>53</v>
      </c>
      <c r="H50">
        <f>Table4[[#This Row],[stock initial]]+Table4[[#This Row],[entrees]]-Table4[[#This Row],[sorties]]</f>
        <v>490</v>
      </c>
      <c r="I50">
        <f>Table4[[#This Row],[stock final]]*(VLOOKUP(Table4[[#This Row],[reference]],listeMarchandises[],7,FALSE))</f>
        <v>614791044</v>
      </c>
      <c r="J50" t="str">
        <f>IF(Table4[[#This Row],[valeur]]&lt;=Table4[[#This Row],[seuil d''alerte]],"stock faible","stock normal")</f>
        <v>stock normal</v>
      </c>
    </row>
    <row r="51" spans="1:10" x14ac:dyDescent="0.25">
      <c r="A51" t="s">
        <v>111</v>
      </c>
      <c r="B51" t="str">
        <f>VLOOKUP(Table4[[#This Row],[reference]],listeMarchandises[],2,FALSE)</f>
        <v>Guitare acoustique 011</v>
      </c>
      <c r="C51" t="str">
        <f>VLOOKUP(Table4[[#This Row],[reference]],listeMarchandises[],3,FALSE)</f>
        <v>Instrument de musique</v>
      </c>
      <c r="D51">
        <f>VLOOKUP(Table4[[#This Row],[reference]],listeMarchandises[],4,FALSE)</f>
        <v>17</v>
      </c>
      <c r="E51">
        <f>VLOOKUP(Table4[[#This Row],[reference]],listeMarchandises[],6,FALSE)</f>
        <v>269</v>
      </c>
      <c r="F51">
        <f>SUMIF(listeEntrées[Reference],Table4[[#This Row],[reference]],listeEntrées[Quantite])</f>
        <v>247</v>
      </c>
      <c r="G51">
        <f>SUMIF(listeSorties[Reference],Table4[[#This Row],[reference]],listeSorties[Quantite])</f>
        <v>93</v>
      </c>
      <c r="H51">
        <f>Table4[[#This Row],[stock initial]]+Table4[[#This Row],[entrees]]-Table4[[#This Row],[sorties]]</f>
        <v>423</v>
      </c>
      <c r="I51">
        <f>Table4[[#This Row],[stock final]]*(VLOOKUP(Table4[[#This Row],[reference]],listeMarchandises[],7,FALSE))</f>
        <v>264095604.27000001</v>
      </c>
      <c r="J51" t="str">
        <f>IF(Table4[[#This Row],[valeur]]&lt;=Table4[[#This Row],[seuil d''alerte]],"stock faible","stock normal")</f>
        <v>stock normal</v>
      </c>
    </row>
    <row r="52" spans="1:10" x14ac:dyDescent="0.25">
      <c r="A52" t="s">
        <v>113</v>
      </c>
      <c r="B52" t="str">
        <f>VLOOKUP(Table4[[#This Row],[reference]],listeMarchandises[],2,FALSE)</f>
        <v>Saxophone alto 012</v>
      </c>
      <c r="C52" t="str">
        <f>VLOOKUP(Table4[[#This Row],[reference]],listeMarchandises[],3,FALSE)</f>
        <v>Instrument de musique</v>
      </c>
      <c r="D52">
        <f>VLOOKUP(Table4[[#This Row],[reference]],listeMarchandises[],4,FALSE)</f>
        <v>17</v>
      </c>
      <c r="E52">
        <f>VLOOKUP(Table4[[#This Row],[reference]],listeMarchandises[],6,FALSE)</f>
        <v>268</v>
      </c>
      <c r="F52">
        <f>SUMIF(listeEntrées[Reference],Table4[[#This Row],[reference]],listeEntrées[Quantite])</f>
        <v>8</v>
      </c>
      <c r="G52">
        <f>SUMIF(listeSorties[Reference],Table4[[#This Row],[reference]],listeSorties[Quantite])</f>
        <v>44</v>
      </c>
      <c r="H52">
        <f>Table4[[#This Row],[stock initial]]+Table4[[#This Row],[entrees]]-Table4[[#This Row],[sorties]]</f>
        <v>232</v>
      </c>
      <c r="I52">
        <f>Table4[[#This Row],[stock final]]*(VLOOKUP(Table4[[#This Row],[reference]],listeMarchandises[],7,FALSE))</f>
        <v>103176190.72</v>
      </c>
      <c r="J52" t="str">
        <f>IF(Table4[[#This Row],[valeur]]&lt;=Table4[[#This Row],[seuil d''alerte]],"stock faible","stock normal")</f>
        <v>stock normal</v>
      </c>
    </row>
    <row r="53" spans="1:10" x14ac:dyDescent="0.25">
      <c r="A53" t="s">
        <v>115</v>
      </c>
      <c r="B53" t="str">
        <f>VLOOKUP(Table4[[#This Row],[reference]],listeMarchandises[],2,FALSE)</f>
        <v>Aspirateur 017</v>
      </c>
      <c r="C53" t="str">
        <f>VLOOKUP(Table4[[#This Row],[reference]],listeMarchandises[],3,FALSE)</f>
        <v>Electromenager</v>
      </c>
      <c r="D53">
        <f>VLOOKUP(Table4[[#This Row],[reference]],listeMarchandises[],4,FALSE)</f>
        <v>5</v>
      </c>
      <c r="E53">
        <f>VLOOKUP(Table4[[#This Row],[reference]],listeMarchandises[],6,FALSE)</f>
        <v>316</v>
      </c>
      <c r="F53">
        <f>SUMIF(listeEntrées[Reference],Table4[[#This Row],[reference]],listeEntrées[Quantite])</f>
        <v>11</v>
      </c>
      <c r="G53">
        <f>SUMIF(listeSorties[Reference],Table4[[#This Row],[reference]],listeSorties[Quantite])</f>
        <v>0</v>
      </c>
      <c r="H53">
        <f>Table4[[#This Row],[stock initial]]+Table4[[#This Row],[entrees]]-Table4[[#This Row],[sorties]]</f>
        <v>327</v>
      </c>
      <c r="I53">
        <f>Table4[[#This Row],[stock final]]*(VLOOKUP(Table4[[#This Row],[reference]],listeMarchandises[],7,FALSE))</f>
        <v>105169717.11</v>
      </c>
      <c r="J53" t="str">
        <f>IF(Table4[[#This Row],[valeur]]&lt;=Table4[[#This Row],[seuil d''alerte]],"stock faible","stock normal")</f>
        <v>stock normal</v>
      </c>
    </row>
    <row r="54" spans="1:10" x14ac:dyDescent="0.25">
      <c r="A54" t="s">
        <v>117</v>
      </c>
      <c r="B54" t="str">
        <f>VLOOKUP(Table4[[#This Row],[reference]],listeMarchandises[],2,FALSE)</f>
        <v>Smartphone Alpha 014</v>
      </c>
      <c r="C54" t="str">
        <f>VLOOKUP(Table4[[#This Row],[reference]],listeMarchandises[],3,FALSE)</f>
        <v>Smartphone</v>
      </c>
      <c r="D54">
        <f>VLOOKUP(Table4[[#This Row],[reference]],listeMarchandises[],4,FALSE)</f>
        <v>6</v>
      </c>
      <c r="E54">
        <f>VLOOKUP(Table4[[#This Row],[reference]],listeMarchandises[],6,FALSE)</f>
        <v>149</v>
      </c>
      <c r="F54">
        <f>SUMIF(listeEntrées[Reference],Table4[[#This Row],[reference]],listeEntrées[Quantite])</f>
        <v>25</v>
      </c>
      <c r="G54">
        <f>SUMIF(listeSorties[Reference],Table4[[#This Row],[reference]],listeSorties[Quantite])</f>
        <v>101</v>
      </c>
      <c r="H54">
        <f>Table4[[#This Row],[stock initial]]+Table4[[#This Row],[entrees]]-Table4[[#This Row],[sorties]]</f>
        <v>73</v>
      </c>
      <c r="I54">
        <f>Table4[[#This Row],[stock final]]*(VLOOKUP(Table4[[#This Row],[reference]],listeMarchandises[],7,FALSE))</f>
        <v>92128319.939999998</v>
      </c>
      <c r="J54" t="str">
        <f>IF(Table4[[#This Row],[valeur]]&lt;=Table4[[#This Row],[seuil d''alerte]],"stock faible","stock normal")</f>
        <v>stock normal</v>
      </c>
    </row>
    <row r="55" spans="1:10" x14ac:dyDescent="0.25">
      <c r="A55" t="s">
        <v>119</v>
      </c>
      <c r="B55" t="str">
        <f>VLOOKUP(Table4[[#This Row],[reference]],listeMarchandises[],2,FALSE)</f>
        <v>Smartphone Ultra 015</v>
      </c>
      <c r="C55" t="str">
        <f>VLOOKUP(Table4[[#This Row],[reference]],listeMarchandises[],3,FALSE)</f>
        <v>Smartphone</v>
      </c>
      <c r="D55">
        <f>VLOOKUP(Table4[[#This Row],[reference]],listeMarchandises[],4,FALSE)</f>
        <v>17</v>
      </c>
      <c r="E55">
        <f>VLOOKUP(Table4[[#This Row],[reference]],listeMarchandises[],6,FALSE)</f>
        <v>82</v>
      </c>
      <c r="F55">
        <f>SUMIF(listeEntrées[Reference],Table4[[#This Row],[reference]],listeEntrées[Quantite])</f>
        <v>119</v>
      </c>
      <c r="G55">
        <f>SUMIF(listeSorties[Reference],Table4[[#This Row],[reference]],listeSorties[Quantite])</f>
        <v>0</v>
      </c>
      <c r="H55">
        <f>Table4[[#This Row],[stock initial]]+Table4[[#This Row],[entrees]]-Table4[[#This Row],[sorties]]</f>
        <v>201</v>
      </c>
      <c r="I55">
        <f>Table4[[#This Row],[stock final]]*(VLOOKUP(Table4[[#This Row],[reference]],listeMarchandises[],7,FALSE))</f>
        <v>70285054.890000001</v>
      </c>
      <c r="J55" t="str">
        <f>IF(Table4[[#This Row],[valeur]]&lt;=Table4[[#This Row],[seuil d''alerte]],"stock faible","stock normal")</f>
        <v>stock normal</v>
      </c>
    </row>
    <row r="56" spans="1:10" x14ac:dyDescent="0.25">
      <c r="A56" t="s">
        <v>121</v>
      </c>
      <c r="B56" t="str">
        <f>VLOOKUP(Table4[[#This Row],[reference]],listeMarchandises[],2,FALSE)</f>
        <v>Groupe silencieux 6kVA 011</v>
      </c>
      <c r="C56" t="str">
        <f>VLOOKUP(Table4[[#This Row],[reference]],listeMarchandises[],3,FALSE)</f>
        <v>Groupe electrogene</v>
      </c>
      <c r="D56">
        <f>VLOOKUP(Table4[[#This Row],[reference]],listeMarchandises[],4,FALSE)</f>
        <v>16</v>
      </c>
      <c r="E56">
        <f>VLOOKUP(Table4[[#This Row],[reference]],listeMarchandises[],6,FALSE)</f>
        <v>246</v>
      </c>
      <c r="F56">
        <f>SUMIF(listeEntrées[Reference],Table4[[#This Row],[reference]],listeEntrées[Quantite])</f>
        <v>36</v>
      </c>
      <c r="G56">
        <f>SUMIF(listeSorties[Reference],Table4[[#This Row],[reference]],listeSorties[Quantite])</f>
        <v>91</v>
      </c>
      <c r="H56">
        <f>Table4[[#This Row],[stock initial]]+Table4[[#This Row],[entrees]]-Table4[[#This Row],[sorties]]</f>
        <v>191</v>
      </c>
      <c r="I56">
        <f>Table4[[#This Row],[stock final]]*(VLOOKUP(Table4[[#This Row],[reference]],listeMarchandises[],7,FALSE))</f>
        <v>685716485.97000003</v>
      </c>
      <c r="J56" t="str">
        <f>IF(Table4[[#This Row],[valeur]]&lt;=Table4[[#This Row],[seuil d''alerte]],"stock faible","stock normal")</f>
        <v>stock normal</v>
      </c>
    </row>
    <row r="57" spans="1:10" x14ac:dyDescent="0.25">
      <c r="A57" t="s">
        <v>123</v>
      </c>
      <c r="B57" t="str">
        <f>VLOOKUP(Table4[[#This Row],[reference]],listeMarchandises[],2,FALSE)</f>
        <v>Clavier arrangeur 013</v>
      </c>
      <c r="C57" t="str">
        <f>VLOOKUP(Table4[[#This Row],[reference]],listeMarchandises[],3,FALSE)</f>
        <v>Instrument de musique</v>
      </c>
      <c r="D57">
        <f>VLOOKUP(Table4[[#This Row],[reference]],listeMarchandises[],4,FALSE)</f>
        <v>9</v>
      </c>
      <c r="E57">
        <f>VLOOKUP(Table4[[#This Row],[reference]],listeMarchandises[],6,FALSE)</f>
        <v>155</v>
      </c>
      <c r="F57">
        <f>SUMIF(listeEntrées[Reference],Table4[[#This Row],[reference]],listeEntrées[Quantite])</f>
        <v>40</v>
      </c>
      <c r="G57">
        <f>SUMIF(listeSorties[Reference],Table4[[#This Row],[reference]],listeSorties[Quantite])</f>
        <v>126</v>
      </c>
      <c r="H57">
        <f>Table4[[#This Row],[stock initial]]+Table4[[#This Row],[entrees]]-Table4[[#This Row],[sorties]]</f>
        <v>69</v>
      </c>
      <c r="I57">
        <f>Table4[[#This Row],[stock final]]*(VLOOKUP(Table4[[#This Row],[reference]],listeMarchandises[],7,FALSE))</f>
        <v>32061884.309999999</v>
      </c>
      <c r="J57" t="str">
        <f>IF(Table4[[#This Row],[valeur]]&lt;=Table4[[#This Row],[seuil d''alerte]],"stock faible","stock normal")</f>
        <v>stock normal</v>
      </c>
    </row>
    <row r="58" spans="1:10" x14ac:dyDescent="0.25">
      <c r="A58" t="s">
        <v>125</v>
      </c>
      <c r="B58" t="str">
        <f>VLOOKUP(Table4[[#This Row],[reference]],listeMarchandises[],2,FALSE)</f>
        <v>Lave-linge 018</v>
      </c>
      <c r="C58" t="str">
        <f>VLOOKUP(Table4[[#This Row],[reference]],listeMarchandises[],3,FALSE)</f>
        <v>Electromenager</v>
      </c>
      <c r="D58">
        <f>VLOOKUP(Table4[[#This Row],[reference]],listeMarchandises[],4,FALSE)</f>
        <v>20</v>
      </c>
      <c r="E58">
        <f>VLOOKUP(Table4[[#This Row],[reference]],listeMarchandises[],6,FALSE)</f>
        <v>228</v>
      </c>
      <c r="F58">
        <f>SUMIF(listeEntrées[Reference],Table4[[#This Row],[reference]],listeEntrées[Quantite])</f>
        <v>75</v>
      </c>
      <c r="G58">
        <f>SUMIF(listeSorties[Reference],Table4[[#This Row],[reference]],listeSorties[Quantite])</f>
        <v>229</v>
      </c>
      <c r="H58">
        <f>Table4[[#This Row],[stock initial]]+Table4[[#This Row],[entrees]]-Table4[[#This Row],[sorties]]</f>
        <v>74</v>
      </c>
      <c r="I58">
        <f>Table4[[#This Row],[stock final]]*(VLOOKUP(Table4[[#This Row],[reference]],listeMarchandises[],7,FALSE))</f>
        <v>29323127.52</v>
      </c>
      <c r="J58" t="str">
        <f>IF(Table4[[#This Row],[valeur]]&lt;=Table4[[#This Row],[seuil d''alerte]],"stock faible","stock normal")</f>
        <v>stock normal</v>
      </c>
    </row>
    <row r="59" spans="1:10" x14ac:dyDescent="0.25">
      <c r="A59" t="s">
        <v>127</v>
      </c>
      <c r="B59" t="str">
        <f>VLOOKUP(Table4[[#This Row],[reference]],listeMarchandises[],2,FALSE)</f>
        <v>Fer a repasser 019</v>
      </c>
      <c r="C59" t="str">
        <f>VLOOKUP(Table4[[#This Row],[reference]],listeMarchandises[],3,FALSE)</f>
        <v>Electromenager</v>
      </c>
      <c r="D59">
        <f>VLOOKUP(Table4[[#This Row],[reference]],listeMarchandises[],4,FALSE)</f>
        <v>19</v>
      </c>
      <c r="E59">
        <f>VLOOKUP(Table4[[#This Row],[reference]],listeMarchandises[],6,FALSE)</f>
        <v>281</v>
      </c>
      <c r="F59">
        <f>SUMIF(listeEntrées[Reference],Table4[[#This Row],[reference]],listeEntrées[Quantite])</f>
        <v>157</v>
      </c>
      <c r="G59">
        <f>SUMIF(listeSorties[Reference],Table4[[#This Row],[reference]],listeSorties[Quantite])</f>
        <v>196</v>
      </c>
      <c r="H59">
        <f>Table4[[#This Row],[stock initial]]+Table4[[#This Row],[entrees]]-Table4[[#This Row],[sorties]]</f>
        <v>242</v>
      </c>
      <c r="I59">
        <f>Table4[[#This Row],[stock final]]*(VLOOKUP(Table4[[#This Row],[reference]],listeMarchandises[],7,FALSE))</f>
        <v>267868965.10000002</v>
      </c>
      <c r="J59" t="str">
        <f>IF(Table4[[#This Row],[valeur]]&lt;=Table4[[#This Row],[seuil d''alerte]],"stock faible","stock normal")</f>
        <v>stock normal</v>
      </c>
    </row>
    <row r="60" spans="1:10" x14ac:dyDescent="0.25">
      <c r="A60" t="s">
        <v>129</v>
      </c>
      <c r="B60" t="str">
        <f>VLOOKUP(Table4[[#This Row],[reference]],listeMarchandises[],2,FALSE)</f>
        <v>Groupe 5kVA 012</v>
      </c>
      <c r="C60" t="str">
        <f>VLOOKUP(Table4[[#This Row],[reference]],listeMarchandises[],3,FALSE)</f>
        <v>Groupe electrogene</v>
      </c>
      <c r="D60">
        <f>VLOOKUP(Table4[[#This Row],[reference]],listeMarchandises[],4,FALSE)</f>
        <v>22</v>
      </c>
      <c r="E60">
        <f>VLOOKUP(Table4[[#This Row],[reference]],listeMarchandises[],6,FALSE)</f>
        <v>357</v>
      </c>
      <c r="F60">
        <f>SUMIF(listeEntrées[Reference],Table4[[#This Row],[reference]],listeEntrées[Quantite])</f>
        <v>73</v>
      </c>
      <c r="G60">
        <f>SUMIF(listeSorties[Reference],Table4[[#This Row],[reference]],listeSorties[Quantite])</f>
        <v>0</v>
      </c>
      <c r="H60">
        <f>Table4[[#This Row],[stock initial]]+Table4[[#This Row],[entrees]]-Table4[[#This Row],[sorties]]</f>
        <v>430</v>
      </c>
      <c r="I60">
        <f>Table4[[#This Row],[stock final]]*(VLOOKUP(Table4[[#This Row],[reference]],listeMarchandises[],7,FALSE))</f>
        <v>1489885121.6000001</v>
      </c>
      <c r="J60" t="str">
        <f>IF(Table4[[#This Row],[valeur]]&lt;=Table4[[#This Row],[seuil d''alerte]],"stock faible","stock normal")</f>
        <v>stock normal</v>
      </c>
    </row>
    <row r="61" spans="1:10" x14ac:dyDescent="0.25">
      <c r="A61" t="s">
        <v>131</v>
      </c>
      <c r="B61" t="str">
        <f>VLOOKUP(Table4[[#This Row],[reference]],listeMarchandises[],2,FALSE)</f>
        <v>Groupe 12kVA 013</v>
      </c>
      <c r="C61" t="str">
        <f>VLOOKUP(Table4[[#This Row],[reference]],listeMarchandises[],3,FALSE)</f>
        <v>Groupe electrogene</v>
      </c>
      <c r="D61">
        <f>VLOOKUP(Table4[[#This Row],[reference]],listeMarchandises[],4,FALSE)</f>
        <v>19</v>
      </c>
      <c r="E61">
        <f>VLOOKUP(Table4[[#This Row],[reference]],listeMarchandises[],6,FALSE)</f>
        <v>208</v>
      </c>
      <c r="F61">
        <f>SUMIF(listeEntrées[Reference],Table4[[#This Row],[reference]],listeEntrées[Quantite])</f>
        <v>174</v>
      </c>
      <c r="G61">
        <f>SUMIF(listeSorties[Reference],Table4[[#This Row],[reference]],listeSorties[Quantite])</f>
        <v>51</v>
      </c>
      <c r="H61">
        <f>Table4[[#This Row],[stock initial]]+Table4[[#This Row],[entrees]]-Table4[[#This Row],[sorties]]</f>
        <v>331</v>
      </c>
      <c r="I61">
        <f>Table4[[#This Row],[stock final]]*(VLOOKUP(Table4[[#This Row],[reference]],listeMarchandises[],7,FALSE))</f>
        <v>801655460.41999996</v>
      </c>
      <c r="J61" t="str">
        <f>IF(Table4[[#This Row],[valeur]]&lt;=Table4[[#This Row],[seuil d''alerte]],"stock faible","stock normal")</f>
        <v>stock normal</v>
      </c>
    </row>
    <row r="62" spans="1:10" x14ac:dyDescent="0.25">
      <c r="A62" t="s">
        <v>133</v>
      </c>
      <c r="B62" t="str">
        <f>VLOOKUP(Table4[[#This Row],[reference]],listeMarchandises[],2,FALSE)</f>
        <v>Climatiseur 020</v>
      </c>
      <c r="C62" t="str">
        <f>VLOOKUP(Table4[[#This Row],[reference]],listeMarchandises[],3,FALSE)</f>
        <v>Electromenager</v>
      </c>
      <c r="D62">
        <f>VLOOKUP(Table4[[#This Row],[reference]],listeMarchandises[],4,FALSE)</f>
        <v>16</v>
      </c>
      <c r="E62">
        <f>VLOOKUP(Table4[[#This Row],[reference]],listeMarchandises[],6,FALSE)</f>
        <v>34</v>
      </c>
      <c r="F62">
        <f>SUMIF(listeEntrées[Reference],Table4[[#This Row],[reference]],listeEntrées[Quantite])</f>
        <v>99</v>
      </c>
      <c r="G62">
        <f>SUMIF(listeSorties[Reference],Table4[[#This Row],[reference]],listeSorties[Quantite])</f>
        <v>61</v>
      </c>
      <c r="H62">
        <f>Table4[[#This Row],[stock initial]]+Table4[[#This Row],[entrees]]-Table4[[#This Row],[sorties]]</f>
        <v>72</v>
      </c>
      <c r="I62">
        <f>Table4[[#This Row],[stock final]]*(VLOOKUP(Table4[[#This Row],[reference]],listeMarchandises[],7,FALSE))</f>
        <v>65251290.240000002</v>
      </c>
      <c r="J62" t="str">
        <f>IF(Table4[[#This Row],[valeur]]&lt;=Table4[[#This Row],[seuil d''alerte]],"stock faible","stock normal")</f>
        <v>stock normal</v>
      </c>
    </row>
    <row r="63" spans="1:10" x14ac:dyDescent="0.25">
      <c r="A63" t="s">
        <v>135</v>
      </c>
      <c r="B63" t="str">
        <f>VLOOKUP(Table4[[#This Row],[reference]],listeMarchandises[],2,FALSE)</f>
        <v>Climatiseur 021</v>
      </c>
      <c r="C63" t="str">
        <f>VLOOKUP(Table4[[#This Row],[reference]],listeMarchandises[],3,FALSE)</f>
        <v>Electromenager</v>
      </c>
      <c r="D63">
        <f>VLOOKUP(Table4[[#This Row],[reference]],listeMarchandises[],4,FALSE)</f>
        <v>8</v>
      </c>
      <c r="E63">
        <f>VLOOKUP(Table4[[#This Row],[reference]],listeMarchandises[],6,FALSE)</f>
        <v>191</v>
      </c>
      <c r="F63">
        <f>SUMIF(listeEntrées[Reference],Table4[[#This Row],[reference]],listeEntrées[Quantite])</f>
        <v>115</v>
      </c>
      <c r="G63">
        <f>SUMIF(listeSorties[Reference],Table4[[#This Row],[reference]],listeSorties[Quantite])</f>
        <v>262</v>
      </c>
      <c r="H63">
        <f>Table4[[#This Row],[stock initial]]+Table4[[#This Row],[entrees]]-Table4[[#This Row],[sorties]]</f>
        <v>44</v>
      </c>
      <c r="I63">
        <f>Table4[[#This Row],[stock final]]*(VLOOKUP(Table4[[#This Row],[reference]],listeMarchandises[],7,FALSE))</f>
        <v>52032131.359999999</v>
      </c>
      <c r="J63" t="str">
        <f>IF(Table4[[#This Row],[valeur]]&lt;=Table4[[#This Row],[seuil d''alerte]],"stock faible","stock normal")</f>
        <v>stock normal</v>
      </c>
    </row>
    <row r="64" spans="1:10" x14ac:dyDescent="0.25">
      <c r="A64" t="s">
        <v>137</v>
      </c>
      <c r="B64" t="str">
        <f>VLOOKUP(Table4[[#This Row],[reference]],listeMarchandises[],2,FALSE)</f>
        <v>Smartphone Ultra 016</v>
      </c>
      <c r="C64" t="str">
        <f>VLOOKUP(Table4[[#This Row],[reference]],listeMarchandises[],3,FALSE)</f>
        <v>Smartphone</v>
      </c>
      <c r="D64">
        <f>VLOOKUP(Table4[[#This Row],[reference]],listeMarchandises[],4,FALSE)</f>
        <v>7</v>
      </c>
      <c r="E64">
        <f>VLOOKUP(Table4[[#This Row],[reference]],listeMarchandises[],6,FALSE)</f>
        <v>274</v>
      </c>
      <c r="F64">
        <f>SUMIF(listeEntrées[Reference],Table4[[#This Row],[reference]],listeEntrées[Quantite])</f>
        <v>169</v>
      </c>
      <c r="G64">
        <f>SUMIF(listeSorties[Reference],Table4[[#This Row],[reference]],listeSorties[Quantite])</f>
        <v>27</v>
      </c>
      <c r="H64">
        <f>Table4[[#This Row],[stock initial]]+Table4[[#This Row],[entrees]]-Table4[[#This Row],[sorties]]</f>
        <v>416</v>
      </c>
      <c r="I64">
        <f>Table4[[#This Row],[stock final]]*(VLOOKUP(Table4[[#This Row],[reference]],listeMarchandises[],7,FALSE))</f>
        <v>70575215.359999999</v>
      </c>
      <c r="J64" t="str">
        <f>IF(Table4[[#This Row],[valeur]]&lt;=Table4[[#This Row],[seuil d''alerte]],"stock faible","stock normal")</f>
        <v>stock normal</v>
      </c>
    </row>
    <row r="65" spans="1:10" x14ac:dyDescent="0.25">
      <c r="A65" t="s">
        <v>139</v>
      </c>
      <c r="B65" t="str">
        <f>VLOOKUP(Table4[[#This Row],[reference]],listeMarchandises[],2,FALSE)</f>
        <v>Groupe 12kVA 014</v>
      </c>
      <c r="C65" t="str">
        <f>VLOOKUP(Table4[[#This Row],[reference]],listeMarchandises[],3,FALSE)</f>
        <v>Groupe electrogene</v>
      </c>
      <c r="D65">
        <f>VLOOKUP(Table4[[#This Row],[reference]],listeMarchandises[],4,FALSE)</f>
        <v>20</v>
      </c>
      <c r="E65">
        <f>VLOOKUP(Table4[[#This Row],[reference]],listeMarchandises[],6,FALSE)</f>
        <v>65</v>
      </c>
      <c r="F65">
        <f>SUMIF(listeEntrées[Reference],Table4[[#This Row],[reference]],listeEntrées[Quantite])</f>
        <v>202</v>
      </c>
      <c r="G65">
        <f>SUMIF(listeSorties[Reference],Table4[[#This Row],[reference]],listeSorties[Quantite])</f>
        <v>95</v>
      </c>
      <c r="H65">
        <f>Table4[[#This Row],[stock initial]]+Table4[[#This Row],[entrees]]-Table4[[#This Row],[sorties]]</f>
        <v>172</v>
      </c>
      <c r="I65">
        <f>Table4[[#This Row],[stock final]]*(VLOOKUP(Table4[[#This Row],[reference]],listeMarchandises[],7,FALSE))</f>
        <v>530790457.15999997</v>
      </c>
      <c r="J65" t="str">
        <f>IF(Table4[[#This Row],[valeur]]&lt;=Table4[[#This Row],[seuil d''alerte]],"stock faible","stock normal")</f>
        <v>stock normal</v>
      </c>
    </row>
    <row r="66" spans="1:10" x14ac:dyDescent="0.25">
      <c r="A66" t="s">
        <v>141</v>
      </c>
      <c r="B66" t="str">
        <f>VLOOKUP(Table4[[#This Row],[reference]],listeMarchandises[],2,FALSE)</f>
        <v>Micro-ondes 022</v>
      </c>
      <c r="C66" t="str">
        <f>VLOOKUP(Table4[[#This Row],[reference]],listeMarchandises[],3,FALSE)</f>
        <v>Electromenager</v>
      </c>
      <c r="D66">
        <f>VLOOKUP(Table4[[#This Row],[reference]],listeMarchandises[],4,FALSE)</f>
        <v>19</v>
      </c>
      <c r="E66">
        <f>VLOOKUP(Table4[[#This Row],[reference]],listeMarchandises[],6,FALSE)</f>
        <v>336</v>
      </c>
      <c r="F66">
        <f>SUMIF(listeEntrées[Reference],Table4[[#This Row],[reference]],listeEntrées[Quantite])</f>
        <v>22</v>
      </c>
      <c r="G66">
        <f>SUMIF(listeSorties[Reference],Table4[[#This Row],[reference]],listeSorties[Quantite])</f>
        <v>79</v>
      </c>
      <c r="H66">
        <f>Table4[[#This Row],[stock initial]]+Table4[[#This Row],[entrees]]-Table4[[#This Row],[sorties]]</f>
        <v>279</v>
      </c>
      <c r="I66">
        <f>Table4[[#This Row],[stock final]]*(VLOOKUP(Table4[[#This Row],[reference]],listeMarchandises[],7,FALSE))</f>
        <v>165695985.18000001</v>
      </c>
      <c r="J66" t="str">
        <f>IF(Table4[[#This Row],[valeur]]&lt;=Table4[[#This Row],[seuil d''alerte]],"stock faible","stock normal")</f>
        <v>stock normal</v>
      </c>
    </row>
    <row r="67" spans="1:10" x14ac:dyDescent="0.25">
      <c r="A67" t="s">
        <v>143</v>
      </c>
      <c r="B67" t="str">
        <f>VLOOKUP(Table4[[#This Row],[reference]],listeMarchandises[],2,FALSE)</f>
        <v>Smartphone Nova 017</v>
      </c>
      <c r="C67" t="str">
        <f>VLOOKUP(Table4[[#This Row],[reference]],listeMarchandises[],3,FALSE)</f>
        <v>Smartphone</v>
      </c>
      <c r="D67">
        <f>VLOOKUP(Table4[[#This Row],[reference]],listeMarchandises[],4,FALSE)</f>
        <v>21</v>
      </c>
      <c r="E67">
        <f>VLOOKUP(Table4[[#This Row],[reference]],listeMarchandises[],6,FALSE)</f>
        <v>299</v>
      </c>
      <c r="F67">
        <f>SUMIF(listeEntrées[Reference],Table4[[#This Row],[reference]],listeEntrées[Quantite])</f>
        <v>30</v>
      </c>
      <c r="G67">
        <f>SUMIF(listeSorties[Reference],Table4[[#This Row],[reference]],listeSorties[Quantite])</f>
        <v>30</v>
      </c>
      <c r="H67">
        <f>Table4[[#This Row],[stock initial]]+Table4[[#This Row],[entrees]]-Table4[[#This Row],[sorties]]</f>
        <v>299</v>
      </c>
      <c r="I67">
        <f>Table4[[#This Row],[stock final]]*(VLOOKUP(Table4[[#This Row],[reference]],listeMarchandises[],7,FALSE))</f>
        <v>71847352.849999994</v>
      </c>
      <c r="J67" t="str">
        <f>IF(Table4[[#This Row],[valeur]]&lt;=Table4[[#This Row],[seuil d''alerte]],"stock faible","stock normal")</f>
        <v>stock normal</v>
      </c>
    </row>
    <row r="68" spans="1:10" x14ac:dyDescent="0.25">
      <c r="A68" t="s">
        <v>145</v>
      </c>
      <c r="B68" t="str">
        <f>VLOOKUP(Table4[[#This Row],[reference]],listeMarchandises[],2,FALSE)</f>
        <v>Violon etude 014</v>
      </c>
      <c r="C68" t="str">
        <f>VLOOKUP(Table4[[#This Row],[reference]],listeMarchandises[],3,FALSE)</f>
        <v>Instrument de musique</v>
      </c>
      <c r="D68">
        <f>VLOOKUP(Table4[[#This Row],[reference]],listeMarchandises[],4,FALSE)</f>
        <v>11</v>
      </c>
      <c r="E68">
        <f>VLOOKUP(Table4[[#This Row],[reference]],listeMarchandises[],6,FALSE)</f>
        <v>43</v>
      </c>
      <c r="F68">
        <f>SUMIF(listeEntrées[Reference],Table4[[#This Row],[reference]],listeEntrées[Quantite])</f>
        <v>63</v>
      </c>
      <c r="G68">
        <f>SUMIF(listeSorties[Reference],Table4[[#This Row],[reference]],listeSorties[Quantite])</f>
        <v>123</v>
      </c>
      <c r="H68">
        <f>Table4[[#This Row],[stock initial]]+Table4[[#This Row],[entrees]]-Table4[[#This Row],[sorties]]</f>
        <v>-17</v>
      </c>
      <c r="I68">
        <f>Table4[[#This Row],[stock final]]*(VLOOKUP(Table4[[#This Row],[reference]],listeMarchandises[],7,FALSE))</f>
        <v>-23821059.600000001</v>
      </c>
      <c r="J68" t="str">
        <f>IF(Table4[[#This Row],[valeur]]&lt;=Table4[[#This Row],[seuil d''alerte]],"stock faible","stock normal")</f>
        <v>stock faible</v>
      </c>
    </row>
    <row r="69" spans="1:10" x14ac:dyDescent="0.25">
      <c r="A69" t="s">
        <v>147</v>
      </c>
      <c r="B69" t="str">
        <f>VLOOKUP(Table4[[#This Row],[reference]],listeMarchandises[],2,FALSE)</f>
        <v>Clavier arrangeur 015</v>
      </c>
      <c r="C69" t="str">
        <f>VLOOKUP(Table4[[#This Row],[reference]],listeMarchandises[],3,FALSE)</f>
        <v>Instrument de musique</v>
      </c>
      <c r="D69">
        <f>VLOOKUP(Table4[[#This Row],[reference]],listeMarchandises[],4,FALSE)</f>
        <v>12</v>
      </c>
      <c r="E69">
        <f>VLOOKUP(Table4[[#This Row],[reference]],listeMarchandises[],6,FALSE)</f>
        <v>269</v>
      </c>
      <c r="F69">
        <f>SUMIF(listeEntrées[Reference],Table4[[#This Row],[reference]],listeEntrées[Quantite])</f>
        <v>16</v>
      </c>
      <c r="G69">
        <f>SUMIF(listeSorties[Reference],Table4[[#This Row],[reference]],listeSorties[Quantite])</f>
        <v>127</v>
      </c>
      <c r="H69">
        <f>Table4[[#This Row],[stock initial]]+Table4[[#This Row],[entrees]]-Table4[[#This Row],[sorties]]</f>
        <v>158</v>
      </c>
      <c r="I69">
        <f>Table4[[#This Row],[stock final]]*(VLOOKUP(Table4[[#This Row],[reference]],listeMarchandises[],7,FALSE))</f>
        <v>186064031.09999999</v>
      </c>
      <c r="J69" t="str">
        <f>IF(Table4[[#This Row],[valeur]]&lt;=Table4[[#This Row],[seuil d''alerte]],"stock faible","stock normal")</f>
        <v>stock normal</v>
      </c>
    </row>
    <row r="70" spans="1:10" x14ac:dyDescent="0.25">
      <c r="A70" t="s">
        <v>149</v>
      </c>
      <c r="B70" t="str">
        <f>VLOOKUP(Table4[[#This Row],[reference]],listeMarchandises[],2,FALSE)</f>
        <v>Smartphone Alpha 018</v>
      </c>
      <c r="C70" t="str">
        <f>VLOOKUP(Table4[[#This Row],[reference]],listeMarchandises[],3,FALSE)</f>
        <v>Smartphone</v>
      </c>
      <c r="D70">
        <f>VLOOKUP(Table4[[#This Row],[reference]],listeMarchandises[],4,FALSE)</f>
        <v>17</v>
      </c>
      <c r="E70">
        <f>VLOOKUP(Table4[[#This Row],[reference]],listeMarchandises[],6,FALSE)</f>
        <v>162</v>
      </c>
      <c r="F70">
        <f>SUMIF(listeEntrées[Reference],Table4[[#This Row],[reference]],listeEntrées[Quantite])</f>
        <v>0</v>
      </c>
      <c r="G70">
        <f>SUMIF(listeSorties[Reference],Table4[[#This Row],[reference]],listeSorties[Quantite])</f>
        <v>53</v>
      </c>
      <c r="H70">
        <f>Table4[[#This Row],[stock initial]]+Table4[[#This Row],[entrees]]-Table4[[#This Row],[sorties]]</f>
        <v>109</v>
      </c>
      <c r="I70">
        <f>Table4[[#This Row],[stock final]]*(VLOOKUP(Table4[[#This Row],[reference]],listeMarchandises[],7,FALSE))</f>
        <v>35265224.530000001</v>
      </c>
      <c r="J70" t="str">
        <f>IF(Table4[[#This Row],[valeur]]&lt;=Table4[[#This Row],[seuil d''alerte]],"stock faible","stock normal")</f>
        <v>stock normal</v>
      </c>
    </row>
    <row r="71" spans="1:10" x14ac:dyDescent="0.25">
      <c r="A71" t="s">
        <v>151</v>
      </c>
      <c r="B71" t="str">
        <f>VLOOKUP(Table4[[#This Row],[reference]],listeMarchandises[],2,FALSE)</f>
        <v>Smartphone Nova 019</v>
      </c>
      <c r="C71" t="str">
        <f>VLOOKUP(Table4[[#This Row],[reference]],listeMarchandises[],3,FALSE)</f>
        <v>Smartphone</v>
      </c>
      <c r="D71">
        <f>VLOOKUP(Table4[[#This Row],[reference]],listeMarchandises[],4,FALSE)</f>
        <v>7</v>
      </c>
      <c r="E71">
        <f>VLOOKUP(Table4[[#This Row],[reference]],listeMarchandises[],6,FALSE)</f>
        <v>201</v>
      </c>
      <c r="F71">
        <f>SUMIF(listeEntrées[Reference],Table4[[#This Row],[reference]],listeEntrées[Quantite])</f>
        <v>0</v>
      </c>
      <c r="G71">
        <f>SUMIF(listeSorties[Reference],Table4[[#This Row],[reference]],listeSorties[Quantite])</f>
        <v>24</v>
      </c>
      <c r="H71">
        <f>Table4[[#This Row],[stock initial]]+Table4[[#This Row],[entrees]]-Table4[[#This Row],[sorties]]</f>
        <v>177</v>
      </c>
      <c r="I71">
        <f>Table4[[#This Row],[stock final]]*(VLOOKUP(Table4[[#This Row],[reference]],listeMarchandises[],7,FALSE))</f>
        <v>265769507.27999997</v>
      </c>
      <c r="J71" t="str">
        <f>IF(Table4[[#This Row],[valeur]]&lt;=Table4[[#This Row],[seuil d''alerte]],"stock faible","stock normal")</f>
        <v>stock normal</v>
      </c>
    </row>
    <row r="72" spans="1:10" x14ac:dyDescent="0.25">
      <c r="A72" t="s">
        <v>153</v>
      </c>
      <c r="B72" t="str">
        <f>VLOOKUP(Table4[[#This Row],[reference]],listeMarchandises[],2,FALSE)</f>
        <v>Climatiseur 023</v>
      </c>
      <c r="C72" t="str">
        <f>VLOOKUP(Table4[[#This Row],[reference]],listeMarchandises[],3,FALSE)</f>
        <v>Electromenager</v>
      </c>
      <c r="D72">
        <f>VLOOKUP(Table4[[#This Row],[reference]],listeMarchandises[],4,FALSE)</f>
        <v>20</v>
      </c>
      <c r="E72">
        <f>VLOOKUP(Table4[[#This Row],[reference]],listeMarchandises[],6,FALSE)</f>
        <v>278</v>
      </c>
      <c r="F72">
        <f>SUMIF(listeEntrées[Reference],Table4[[#This Row],[reference]],listeEntrées[Quantite])</f>
        <v>86</v>
      </c>
      <c r="G72">
        <f>SUMIF(listeSorties[Reference],Table4[[#This Row],[reference]],listeSorties[Quantite])</f>
        <v>66</v>
      </c>
      <c r="H72">
        <f>Table4[[#This Row],[stock initial]]+Table4[[#This Row],[entrees]]-Table4[[#This Row],[sorties]]</f>
        <v>298</v>
      </c>
      <c r="I72">
        <f>Table4[[#This Row],[stock final]]*(VLOOKUP(Table4[[#This Row],[reference]],listeMarchandises[],7,FALSE))</f>
        <v>228389840.28</v>
      </c>
      <c r="J72" t="str">
        <f>IF(Table4[[#This Row],[valeur]]&lt;=Table4[[#This Row],[seuil d''alerte]],"stock faible","stock normal")</f>
        <v>stock normal</v>
      </c>
    </row>
    <row r="73" spans="1:10" x14ac:dyDescent="0.25">
      <c r="A73" t="s">
        <v>155</v>
      </c>
      <c r="B73" t="str">
        <f>VLOOKUP(Table4[[#This Row],[reference]],listeMarchandises[],2,FALSE)</f>
        <v>Smartphone Prime 020</v>
      </c>
      <c r="C73" t="str">
        <f>VLOOKUP(Table4[[#This Row],[reference]],listeMarchandises[],3,FALSE)</f>
        <v>Smartphone</v>
      </c>
      <c r="D73">
        <f>VLOOKUP(Table4[[#This Row],[reference]],listeMarchandises[],4,FALSE)</f>
        <v>14</v>
      </c>
      <c r="E73">
        <f>VLOOKUP(Table4[[#This Row],[reference]],listeMarchandises[],6,FALSE)</f>
        <v>189</v>
      </c>
      <c r="F73">
        <f>SUMIF(listeEntrées[Reference],Table4[[#This Row],[reference]],listeEntrées[Quantite])</f>
        <v>0</v>
      </c>
      <c r="G73">
        <f>SUMIF(listeSorties[Reference],Table4[[#This Row],[reference]],listeSorties[Quantite])</f>
        <v>0</v>
      </c>
      <c r="H73">
        <f>Table4[[#This Row],[stock initial]]+Table4[[#This Row],[entrees]]-Table4[[#This Row],[sorties]]</f>
        <v>189</v>
      </c>
      <c r="I73">
        <f>Table4[[#This Row],[stock final]]*(VLOOKUP(Table4[[#This Row],[reference]],listeMarchandises[],7,FALSE))</f>
        <v>199912737.15000001</v>
      </c>
      <c r="J73" t="str">
        <f>IF(Table4[[#This Row],[valeur]]&lt;=Table4[[#This Row],[seuil d''alerte]],"stock faible","stock normal")</f>
        <v>stock normal</v>
      </c>
    </row>
    <row r="74" spans="1:10" x14ac:dyDescent="0.25">
      <c r="A74" t="s">
        <v>157</v>
      </c>
      <c r="B74" t="str">
        <f>VLOOKUP(Table4[[#This Row],[reference]],listeMarchandises[],2,FALSE)</f>
        <v>Batterie electronique 016</v>
      </c>
      <c r="C74" t="str">
        <f>VLOOKUP(Table4[[#This Row],[reference]],listeMarchandises[],3,FALSE)</f>
        <v>Instrument de musique</v>
      </c>
      <c r="D74">
        <f>VLOOKUP(Table4[[#This Row],[reference]],listeMarchandises[],4,FALSE)</f>
        <v>12</v>
      </c>
      <c r="E74">
        <f>VLOOKUP(Table4[[#This Row],[reference]],listeMarchandises[],6,FALSE)</f>
        <v>233</v>
      </c>
      <c r="F74">
        <f>SUMIF(listeEntrées[Reference],Table4[[#This Row],[reference]],listeEntrées[Quantite])</f>
        <v>66</v>
      </c>
      <c r="G74">
        <f>SUMIF(listeSorties[Reference],Table4[[#This Row],[reference]],listeSorties[Quantite])</f>
        <v>0</v>
      </c>
      <c r="H74">
        <f>Table4[[#This Row],[stock initial]]+Table4[[#This Row],[entrees]]-Table4[[#This Row],[sorties]]</f>
        <v>299</v>
      </c>
      <c r="I74">
        <f>Table4[[#This Row],[stock final]]*(VLOOKUP(Table4[[#This Row],[reference]],listeMarchandises[],7,FALSE))</f>
        <v>196862700.32000002</v>
      </c>
      <c r="J74" t="str">
        <f>IF(Table4[[#This Row],[valeur]]&lt;=Table4[[#This Row],[seuil d''alerte]],"stock faible","stock normal")</f>
        <v>stock normal</v>
      </c>
    </row>
    <row r="75" spans="1:10" x14ac:dyDescent="0.25">
      <c r="A75" t="s">
        <v>159</v>
      </c>
      <c r="B75" t="str">
        <f>VLOOKUP(Table4[[#This Row],[reference]],listeMarchandises[],2,FALSE)</f>
        <v>Batterie electronique 017</v>
      </c>
      <c r="C75" t="str">
        <f>VLOOKUP(Table4[[#This Row],[reference]],listeMarchandises[],3,FALSE)</f>
        <v>Instrument de musique</v>
      </c>
      <c r="D75">
        <f>VLOOKUP(Table4[[#This Row],[reference]],listeMarchandises[],4,FALSE)</f>
        <v>12</v>
      </c>
      <c r="E75">
        <f>VLOOKUP(Table4[[#This Row],[reference]],listeMarchandises[],6,FALSE)</f>
        <v>340</v>
      </c>
      <c r="F75">
        <f>SUMIF(listeEntrées[Reference],Table4[[#This Row],[reference]],listeEntrées[Quantite])</f>
        <v>111</v>
      </c>
      <c r="G75">
        <f>SUMIF(listeSorties[Reference],Table4[[#This Row],[reference]],listeSorties[Quantite])</f>
        <v>77</v>
      </c>
      <c r="H75">
        <f>Table4[[#This Row],[stock initial]]+Table4[[#This Row],[entrees]]-Table4[[#This Row],[sorties]]</f>
        <v>374</v>
      </c>
      <c r="I75">
        <f>Table4[[#This Row],[stock final]]*(VLOOKUP(Table4[[#This Row],[reference]],listeMarchandises[],7,FALSE))</f>
        <v>610751424.79999995</v>
      </c>
      <c r="J75" t="str">
        <f>IF(Table4[[#This Row],[valeur]]&lt;=Table4[[#This Row],[seuil d''alerte]],"stock faible","stock normal")</f>
        <v>stock normal</v>
      </c>
    </row>
    <row r="76" spans="1:10" x14ac:dyDescent="0.25">
      <c r="A76" t="s">
        <v>161</v>
      </c>
      <c r="B76" t="str">
        <f>VLOOKUP(Table4[[#This Row],[reference]],listeMarchandises[],2,FALSE)</f>
        <v>Groupe 12kVA 015</v>
      </c>
      <c r="C76" t="str">
        <f>VLOOKUP(Table4[[#This Row],[reference]],listeMarchandises[],3,FALSE)</f>
        <v>Groupe electrogene</v>
      </c>
      <c r="D76">
        <f>VLOOKUP(Table4[[#This Row],[reference]],listeMarchandises[],4,FALSE)</f>
        <v>11</v>
      </c>
      <c r="E76">
        <f>VLOOKUP(Table4[[#This Row],[reference]],listeMarchandises[],6,FALSE)</f>
        <v>257</v>
      </c>
      <c r="F76">
        <f>SUMIF(listeEntrées[Reference],Table4[[#This Row],[reference]],listeEntrées[Quantite])</f>
        <v>0</v>
      </c>
      <c r="G76">
        <f>SUMIF(listeSorties[Reference],Table4[[#This Row],[reference]],listeSorties[Quantite])</f>
        <v>0</v>
      </c>
      <c r="H76">
        <f>Table4[[#This Row],[stock initial]]+Table4[[#This Row],[entrees]]-Table4[[#This Row],[sorties]]</f>
        <v>257</v>
      </c>
      <c r="I76">
        <f>Table4[[#This Row],[stock final]]*(VLOOKUP(Table4[[#This Row],[reference]],listeMarchandises[],7,FALSE))</f>
        <v>541051945.93000007</v>
      </c>
      <c r="J76" t="str">
        <f>IF(Table4[[#This Row],[valeur]]&lt;=Table4[[#This Row],[seuil d''alerte]],"stock faible","stock normal")</f>
        <v>stock normal</v>
      </c>
    </row>
    <row r="77" spans="1:10" x14ac:dyDescent="0.25">
      <c r="A77" t="s">
        <v>163</v>
      </c>
      <c r="B77" t="str">
        <f>VLOOKUP(Table4[[#This Row],[reference]],listeMarchandises[],2,FALSE)</f>
        <v>Groupe silencieux 6kVA 016</v>
      </c>
      <c r="C77" t="str">
        <f>VLOOKUP(Table4[[#This Row],[reference]],listeMarchandises[],3,FALSE)</f>
        <v>Groupe electrogene</v>
      </c>
      <c r="D77">
        <f>VLOOKUP(Table4[[#This Row],[reference]],listeMarchandises[],4,FALSE)</f>
        <v>4</v>
      </c>
      <c r="E77">
        <f>VLOOKUP(Table4[[#This Row],[reference]],listeMarchandises[],6,FALSE)</f>
        <v>192</v>
      </c>
      <c r="F77">
        <f>SUMIF(listeEntrées[Reference],Table4[[#This Row],[reference]],listeEntrées[Quantite])</f>
        <v>138</v>
      </c>
      <c r="G77">
        <f>SUMIF(listeSorties[Reference],Table4[[#This Row],[reference]],listeSorties[Quantite])</f>
        <v>0</v>
      </c>
      <c r="H77">
        <f>Table4[[#This Row],[stock initial]]+Table4[[#This Row],[entrees]]-Table4[[#This Row],[sorties]]</f>
        <v>330</v>
      </c>
      <c r="I77">
        <f>Table4[[#This Row],[stock final]]*(VLOOKUP(Table4[[#This Row],[reference]],listeMarchandises[],7,FALSE))</f>
        <v>586097813.39999998</v>
      </c>
      <c r="J77" t="str">
        <f>IF(Table4[[#This Row],[valeur]]&lt;=Table4[[#This Row],[seuil d''alerte]],"stock faible","stock normal")</f>
        <v>stock normal</v>
      </c>
    </row>
    <row r="78" spans="1:10" x14ac:dyDescent="0.25">
      <c r="A78" t="s">
        <v>165</v>
      </c>
      <c r="B78" t="str">
        <f>VLOOKUP(Table4[[#This Row],[reference]],listeMarchandises[],2,FALSE)</f>
        <v>Groupe 5kVA 017</v>
      </c>
      <c r="C78" t="str">
        <f>VLOOKUP(Table4[[#This Row],[reference]],listeMarchandises[],3,FALSE)</f>
        <v>Groupe electrogene</v>
      </c>
      <c r="D78">
        <f>VLOOKUP(Table4[[#This Row],[reference]],listeMarchandises[],4,FALSE)</f>
        <v>24</v>
      </c>
      <c r="E78">
        <f>VLOOKUP(Table4[[#This Row],[reference]],listeMarchandises[],6,FALSE)</f>
        <v>149</v>
      </c>
      <c r="F78">
        <f>SUMIF(listeEntrées[Reference],Table4[[#This Row],[reference]],listeEntrées[Quantite])</f>
        <v>168</v>
      </c>
      <c r="G78">
        <f>SUMIF(listeSorties[Reference],Table4[[#This Row],[reference]],listeSorties[Quantite])</f>
        <v>153</v>
      </c>
      <c r="H78">
        <f>Table4[[#This Row],[stock initial]]+Table4[[#This Row],[entrees]]-Table4[[#This Row],[sorties]]</f>
        <v>164</v>
      </c>
      <c r="I78">
        <f>Table4[[#This Row],[stock final]]*(VLOOKUP(Table4[[#This Row],[reference]],listeMarchandises[],7,FALSE))</f>
        <v>410614611.31999999</v>
      </c>
      <c r="J78" t="str">
        <f>IF(Table4[[#This Row],[valeur]]&lt;=Table4[[#This Row],[seuil d''alerte]],"stock faible","stock normal")</f>
        <v>stock normal</v>
      </c>
    </row>
    <row r="79" spans="1:10" x14ac:dyDescent="0.25">
      <c r="A79" t="s">
        <v>167</v>
      </c>
      <c r="B79" t="str">
        <f>VLOOKUP(Table4[[#This Row],[reference]],listeMarchandises[],2,FALSE)</f>
        <v>Saxophone alto 018</v>
      </c>
      <c r="C79" t="str">
        <f>VLOOKUP(Table4[[#This Row],[reference]],listeMarchandises[],3,FALSE)</f>
        <v>Instrument de musique</v>
      </c>
      <c r="D79">
        <f>VLOOKUP(Table4[[#This Row],[reference]],listeMarchandises[],4,FALSE)</f>
        <v>9</v>
      </c>
      <c r="E79">
        <f>VLOOKUP(Table4[[#This Row],[reference]],listeMarchandises[],6,FALSE)</f>
        <v>47</v>
      </c>
      <c r="F79">
        <f>SUMIF(listeEntrées[Reference],Table4[[#This Row],[reference]],listeEntrées[Quantite])</f>
        <v>74</v>
      </c>
      <c r="G79">
        <f>SUMIF(listeSorties[Reference],Table4[[#This Row],[reference]],listeSorties[Quantite])</f>
        <v>68</v>
      </c>
      <c r="H79">
        <f>Table4[[#This Row],[stock initial]]+Table4[[#This Row],[entrees]]-Table4[[#This Row],[sorties]]</f>
        <v>53</v>
      </c>
      <c r="I79">
        <f>Table4[[#This Row],[stock final]]*(VLOOKUP(Table4[[#This Row],[reference]],listeMarchandises[],7,FALSE))</f>
        <v>10848303.41</v>
      </c>
      <c r="J79" t="str">
        <f>IF(Table4[[#This Row],[valeur]]&lt;=Table4[[#This Row],[seuil d''alerte]],"stock faible","stock normal")</f>
        <v>stock normal</v>
      </c>
    </row>
    <row r="80" spans="1:10" x14ac:dyDescent="0.25">
      <c r="A80" t="s">
        <v>169</v>
      </c>
      <c r="B80" t="str">
        <f>VLOOKUP(Table4[[#This Row],[reference]],listeMarchandises[],2,FALSE)</f>
        <v>Groupe 5kVA 018</v>
      </c>
      <c r="C80" t="str">
        <f>VLOOKUP(Table4[[#This Row],[reference]],listeMarchandises[],3,FALSE)</f>
        <v>Groupe electrogene</v>
      </c>
      <c r="D80">
        <f>VLOOKUP(Table4[[#This Row],[reference]],listeMarchandises[],4,FALSE)</f>
        <v>9</v>
      </c>
      <c r="E80">
        <f>VLOOKUP(Table4[[#This Row],[reference]],listeMarchandises[],6,FALSE)</f>
        <v>260</v>
      </c>
      <c r="F80">
        <f>SUMIF(listeEntrées[Reference],Table4[[#This Row],[reference]],listeEntrées[Quantite])</f>
        <v>0</v>
      </c>
      <c r="G80">
        <f>SUMIF(listeSorties[Reference],Table4[[#This Row],[reference]],listeSorties[Quantite])</f>
        <v>15</v>
      </c>
      <c r="H80">
        <f>Table4[[#This Row],[stock initial]]+Table4[[#This Row],[entrees]]-Table4[[#This Row],[sorties]]</f>
        <v>245</v>
      </c>
      <c r="I80">
        <f>Table4[[#This Row],[stock final]]*(VLOOKUP(Table4[[#This Row],[reference]],listeMarchandises[],7,FALSE))</f>
        <v>382622061.5</v>
      </c>
      <c r="J80" t="str">
        <f>IF(Table4[[#This Row],[valeur]]&lt;=Table4[[#This Row],[seuil d''alerte]],"stock faible","stock normal")</f>
        <v>stock normal</v>
      </c>
    </row>
    <row r="81" spans="1:10" x14ac:dyDescent="0.25">
      <c r="A81" t="s">
        <v>171</v>
      </c>
      <c r="B81" t="str">
        <f>VLOOKUP(Table4[[#This Row],[reference]],listeMarchandises[],2,FALSE)</f>
        <v>Fer a repasser 024</v>
      </c>
      <c r="C81" t="str">
        <f>VLOOKUP(Table4[[#This Row],[reference]],listeMarchandises[],3,FALSE)</f>
        <v>Electromenager</v>
      </c>
      <c r="D81">
        <f>VLOOKUP(Table4[[#This Row],[reference]],listeMarchandises[],4,FALSE)</f>
        <v>11</v>
      </c>
      <c r="E81">
        <f>VLOOKUP(Table4[[#This Row],[reference]],listeMarchandises[],6,FALSE)</f>
        <v>137</v>
      </c>
      <c r="F81">
        <f>SUMIF(listeEntrées[Reference],Table4[[#This Row],[reference]],listeEntrées[Quantite])</f>
        <v>2</v>
      </c>
      <c r="G81">
        <f>SUMIF(listeSorties[Reference],Table4[[#This Row],[reference]],listeSorties[Quantite])</f>
        <v>106</v>
      </c>
      <c r="H81">
        <f>Table4[[#This Row],[stock initial]]+Table4[[#This Row],[entrees]]-Table4[[#This Row],[sorties]]</f>
        <v>33</v>
      </c>
      <c r="I81">
        <f>Table4[[#This Row],[stock final]]*(VLOOKUP(Table4[[#This Row],[reference]],listeMarchandises[],7,FALSE))</f>
        <v>21249709.139999997</v>
      </c>
      <c r="J81" t="str">
        <f>IF(Table4[[#This Row],[valeur]]&lt;=Table4[[#This Row],[seuil d''alerte]],"stock faible","stock normal")</f>
        <v>stock normal</v>
      </c>
    </row>
    <row r="82" spans="1:10" x14ac:dyDescent="0.25">
      <c r="A82" t="s">
        <v>173</v>
      </c>
      <c r="B82" t="str">
        <f>VLOOKUP(Table4[[#This Row],[reference]],listeMarchandises[],2,FALSE)</f>
        <v>Saxophone alto 019</v>
      </c>
      <c r="C82" t="str">
        <f>VLOOKUP(Table4[[#This Row],[reference]],listeMarchandises[],3,FALSE)</f>
        <v>Instrument de musique</v>
      </c>
      <c r="D82">
        <f>VLOOKUP(Table4[[#This Row],[reference]],listeMarchandises[],4,FALSE)</f>
        <v>8</v>
      </c>
      <c r="E82">
        <f>VLOOKUP(Table4[[#This Row],[reference]],listeMarchandises[],6,FALSE)</f>
        <v>291</v>
      </c>
      <c r="F82">
        <f>SUMIF(listeEntrées[Reference],Table4[[#This Row],[reference]],listeEntrées[Quantite])</f>
        <v>0</v>
      </c>
      <c r="G82">
        <f>SUMIF(listeSorties[Reference],Table4[[#This Row],[reference]],listeSorties[Quantite])</f>
        <v>197</v>
      </c>
      <c r="H82">
        <f>Table4[[#This Row],[stock initial]]+Table4[[#This Row],[entrees]]-Table4[[#This Row],[sorties]]</f>
        <v>94</v>
      </c>
      <c r="I82">
        <f>Table4[[#This Row],[stock final]]*(VLOOKUP(Table4[[#This Row],[reference]],listeMarchandises[],7,FALSE))</f>
        <v>126755360.32000001</v>
      </c>
      <c r="J82" t="str">
        <f>IF(Table4[[#This Row],[valeur]]&lt;=Table4[[#This Row],[seuil d''alerte]],"stock faible","stock normal")</f>
        <v>stock normal</v>
      </c>
    </row>
    <row r="83" spans="1:10" x14ac:dyDescent="0.25">
      <c r="A83" t="s">
        <v>175</v>
      </c>
      <c r="B83" t="str">
        <f>VLOOKUP(Table4[[#This Row],[reference]],listeMarchandises[],2,FALSE)</f>
        <v>Mixeur 025</v>
      </c>
      <c r="C83" t="str">
        <f>VLOOKUP(Table4[[#This Row],[reference]],listeMarchandises[],3,FALSE)</f>
        <v>Electromenager</v>
      </c>
      <c r="D83">
        <f>VLOOKUP(Table4[[#This Row],[reference]],listeMarchandises[],4,FALSE)</f>
        <v>9</v>
      </c>
      <c r="E83">
        <f>VLOOKUP(Table4[[#This Row],[reference]],listeMarchandises[],6,FALSE)</f>
        <v>34</v>
      </c>
      <c r="F83">
        <f>SUMIF(listeEntrées[Reference],Table4[[#This Row],[reference]],listeEntrées[Quantite])</f>
        <v>0</v>
      </c>
      <c r="G83">
        <f>SUMIF(listeSorties[Reference],Table4[[#This Row],[reference]],listeSorties[Quantite])</f>
        <v>63</v>
      </c>
      <c r="H83">
        <f>Table4[[#This Row],[stock initial]]+Table4[[#This Row],[entrees]]-Table4[[#This Row],[sorties]]</f>
        <v>-29</v>
      </c>
      <c r="I83">
        <f>Table4[[#This Row],[stock final]]*(VLOOKUP(Table4[[#This Row],[reference]],listeMarchandises[],7,FALSE))</f>
        <v>-28802256.830000002</v>
      </c>
      <c r="J83" t="str">
        <f>IF(Table4[[#This Row],[valeur]]&lt;=Table4[[#This Row],[seuil d''alerte]],"stock faible","stock normal")</f>
        <v>stock faible</v>
      </c>
    </row>
    <row r="84" spans="1:10" x14ac:dyDescent="0.25">
      <c r="A84" t="s">
        <v>177</v>
      </c>
      <c r="B84" t="str">
        <f>VLOOKUP(Table4[[#This Row],[reference]],listeMarchandises[],2,FALSE)</f>
        <v>Climatiseur 026</v>
      </c>
      <c r="C84" t="str">
        <f>VLOOKUP(Table4[[#This Row],[reference]],listeMarchandises[],3,FALSE)</f>
        <v>Electromenager</v>
      </c>
      <c r="D84">
        <f>VLOOKUP(Table4[[#This Row],[reference]],listeMarchandises[],4,FALSE)</f>
        <v>13</v>
      </c>
      <c r="E84">
        <f>VLOOKUP(Table4[[#This Row],[reference]],listeMarchandises[],6,FALSE)</f>
        <v>114</v>
      </c>
      <c r="F84">
        <f>SUMIF(listeEntrées[Reference],Table4[[#This Row],[reference]],listeEntrées[Quantite])</f>
        <v>16</v>
      </c>
      <c r="G84">
        <f>SUMIF(listeSorties[Reference],Table4[[#This Row],[reference]],listeSorties[Quantite])</f>
        <v>38</v>
      </c>
      <c r="H84">
        <f>Table4[[#This Row],[stock initial]]+Table4[[#This Row],[entrees]]-Table4[[#This Row],[sorties]]</f>
        <v>92</v>
      </c>
      <c r="I84">
        <f>Table4[[#This Row],[stock final]]*(VLOOKUP(Table4[[#This Row],[reference]],listeMarchandises[],7,FALSE))</f>
        <v>43563706.600000001</v>
      </c>
      <c r="J84" t="str">
        <f>IF(Table4[[#This Row],[valeur]]&lt;=Table4[[#This Row],[seuil d''alerte]],"stock faible","stock normal")</f>
        <v>stock normal</v>
      </c>
    </row>
    <row r="85" spans="1:10" x14ac:dyDescent="0.25">
      <c r="A85" t="s">
        <v>179</v>
      </c>
      <c r="B85" t="str">
        <f>VLOOKUP(Table4[[#This Row],[reference]],listeMarchandises[],2,FALSE)</f>
        <v>Clavier arrangeur 020</v>
      </c>
      <c r="C85" t="str">
        <f>VLOOKUP(Table4[[#This Row],[reference]],listeMarchandises[],3,FALSE)</f>
        <v>Instrument de musique</v>
      </c>
      <c r="D85">
        <f>VLOOKUP(Table4[[#This Row],[reference]],listeMarchandises[],4,FALSE)</f>
        <v>12</v>
      </c>
      <c r="E85">
        <f>VLOOKUP(Table4[[#This Row],[reference]],listeMarchandises[],6,FALSE)</f>
        <v>41</v>
      </c>
      <c r="F85">
        <f>SUMIF(listeEntrées[Reference],Table4[[#This Row],[reference]],listeEntrées[Quantite])</f>
        <v>89</v>
      </c>
      <c r="G85">
        <f>SUMIF(listeSorties[Reference],Table4[[#This Row],[reference]],listeSorties[Quantite])</f>
        <v>76</v>
      </c>
      <c r="H85">
        <f>Table4[[#This Row],[stock initial]]+Table4[[#This Row],[entrees]]-Table4[[#This Row],[sorties]]</f>
        <v>54</v>
      </c>
      <c r="I85">
        <f>Table4[[#This Row],[stock final]]*(VLOOKUP(Table4[[#This Row],[reference]],listeMarchandises[],7,FALSE))</f>
        <v>106305420.05999999</v>
      </c>
      <c r="J85" t="str">
        <f>IF(Table4[[#This Row],[valeur]]&lt;=Table4[[#This Row],[seuil d''alerte]],"stock faible","stock normal")</f>
        <v>stock normal</v>
      </c>
    </row>
    <row r="86" spans="1:10" x14ac:dyDescent="0.25">
      <c r="A86" t="s">
        <v>181</v>
      </c>
      <c r="B86" t="str">
        <f>VLOOKUP(Table4[[#This Row],[reference]],listeMarchandises[],2,FALSE)</f>
        <v>Climatiseur 027</v>
      </c>
      <c r="C86" t="str">
        <f>VLOOKUP(Table4[[#This Row],[reference]],listeMarchandises[],3,FALSE)</f>
        <v>Electromenager</v>
      </c>
      <c r="D86">
        <f>VLOOKUP(Table4[[#This Row],[reference]],listeMarchandises[],4,FALSE)</f>
        <v>14</v>
      </c>
      <c r="E86">
        <f>VLOOKUP(Table4[[#This Row],[reference]],listeMarchandises[],6,FALSE)</f>
        <v>312</v>
      </c>
      <c r="F86">
        <f>SUMIF(listeEntrées[Reference],Table4[[#This Row],[reference]],listeEntrées[Quantite])</f>
        <v>337</v>
      </c>
      <c r="G86">
        <f>SUMIF(listeSorties[Reference],Table4[[#This Row],[reference]],listeSorties[Quantite])</f>
        <v>0</v>
      </c>
      <c r="H86">
        <f>Table4[[#This Row],[stock initial]]+Table4[[#This Row],[entrees]]-Table4[[#This Row],[sorties]]</f>
        <v>649</v>
      </c>
      <c r="I86">
        <f>Table4[[#This Row],[stock final]]*(VLOOKUP(Table4[[#This Row],[reference]],listeMarchandises[],7,FALSE))</f>
        <v>619094949.65999997</v>
      </c>
      <c r="J86" t="str">
        <f>IF(Table4[[#This Row],[valeur]]&lt;=Table4[[#This Row],[seuil d''alerte]],"stock faible","stock normal")</f>
        <v>stock normal</v>
      </c>
    </row>
    <row r="87" spans="1:10" x14ac:dyDescent="0.25">
      <c r="A87" t="s">
        <v>183</v>
      </c>
      <c r="B87" t="str">
        <f>VLOOKUP(Table4[[#This Row],[reference]],listeMarchandises[],2,FALSE)</f>
        <v>Clavier arrangeur 021</v>
      </c>
      <c r="C87" t="str">
        <f>VLOOKUP(Table4[[#This Row],[reference]],listeMarchandises[],3,FALSE)</f>
        <v>Instrument de musique</v>
      </c>
      <c r="D87">
        <f>VLOOKUP(Table4[[#This Row],[reference]],listeMarchandises[],4,FALSE)</f>
        <v>3</v>
      </c>
      <c r="E87">
        <f>VLOOKUP(Table4[[#This Row],[reference]],listeMarchandises[],6,FALSE)</f>
        <v>144</v>
      </c>
      <c r="F87">
        <f>SUMIF(listeEntrées[Reference],Table4[[#This Row],[reference]],listeEntrées[Quantite])</f>
        <v>0</v>
      </c>
      <c r="G87">
        <f>SUMIF(listeSorties[Reference],Table4[[#This Row],[reference]],listeSorties[Quantite])</f>
        <v>30</v>
      </c>
      <c r="H87">
        <f>Table4[[#This Row],[stock initial]]+Table4[[#This Row],[entrees]]-Table4[[#This Row],[sorties]]</f>
        <v>114</v>
      </c>
      <c r="I87">
        <f>Table4[[#This Row],[stock final]]*(VLOOKUP(Table4[[#This Row],[reference]],listeMarchandises[],7,FALSE))</f>
        <v>11347522.379999999</v>
      </c>
      <c r="J87" t="str">
        <f>IF(Table4[[#This Row],[valeur]]&lt;=Table4[[#This Row],[seuil d''alerte]],"stock faible","stock normal")</f>
        <v>stock normal</v>
      </c>
    </row>
    <row r="88" spans="1:10" x14ac:dyDescent="0.25">
      <c r="A88" t="s">
        <v>185</v>
      </c>
      <c r="B88" t="str">
        <f>VLOOKUP(Table4[[#This Row],[reference]],listeMarchandises[],2,FALSE)</f>
        <v>Groupe 2kVA 019</v>
      </c>
      <c r="C88" t="str">
        <f>VLOOKUP(Table4[[#This Row],[reference]],listeMarchandises[],3,FALSE)</f>
        <v>Groupe electrogene</v>
      </c>
      <c r="D88">
        <f>VLOOKUP(Table4[[#This Row],[reference]],listeMarchandises[],4,FALSE)</f>
        <v>11</v>
      </c>
      <c r="E88">
        <f>VLOOKUP(Table4[[#This Row],[reference]],listeMarchandises[],6,FALSE)</f>
        <v>255</v>
      </c>
      <c r="F88">
        <f>SUMIF(listeEntrées[Reference],Table4[[#This Row],[reference]],listeEntrées[Quantite])</f>
        <v>60</v>
      </c>
      <c r="G88">
        <f>SUMIF(listeSorties[Reference],Table4[[#This Row],[reference]],listeSorties[Quantite])</f>
        <v>16</v>
      </c>
      <c r="H88">
        <f>Table4[[#This Row],[stock initial]]+Table4[[#This Row],[entrees]]-Table4[[#This Row],[sorties]]</f>
        <v>299</v>
      </c>
      <c r="I88">
        <f>Table4[[#This Row],[stock final]]*(VLOOKUP(Table4[[#This Row],[reference]],listeMarchandises[],7,FALSE))</f>
        <v>488919920.31999999</v>
      </c>
      <c r="J88" t="str">
        <f>IF(Table4[[#This Row],[valeur]]&lt;=Table4[[#This Row],[seuil d''alerte]],"stock faible","stock normal")</f>
        <v>stock normal</v>
      </c>
    </row>
    <row r="89" spans="1:10" x14ac:dyDescent="0.25">
      <c r="A89" t="s">
        <v>187</v>
      </c>
      <c r="B89" t="str">
        <f>VLOOKUP(Table4[[#This Row],[reference]],listeMarchandises[],2,FALSE)</f>
        <v>Batterie electronique 022</v>
      </c>
      <c r="C89" t="str">
        <f>VLOOKUP(Table4[[#This Row],[reference]],listeMarchandises[],3,FALSE)</f>
        <v>Instrument de musique</v>
      </c>
      <c r="D89">
        <f>VLOOKUP(Table4[[#This Row],[reference]],listeMarchandises[],4,FALSE)</f>
        <v>17</v>
      </c>
      <c r="E89">
        <f>VLOOKUP(Table4[[#This Row],[reference]],listeMarchandises[],6,FALSE)</f>
        <v>193</v>
      </c>
      <c r="F89">
        <f>SUMIF(listeEntrées[Reference],Table4[[#This Row],[reference]],listeEntrées[Quantite])</f>
        <v>300</v>
      </c>
      <c r="G89">
        <f>SUMIF(listeSorties[Reference],Table4[[#This Row],[reference]],listeSorties[Quantite])</f>
        <v>69</v>
      </c>
      <c r="H89">
        <f>Table4[[#This Row],[stock initial]]+Table4[[#This Row],[entrees]]-Table4[[#This Row],[sorties]]</f>
        <v>424</v>
      </c>
      <c r="I89">
        <f>Table4[[#This Row],[stock final]]*(VLOOKUP(Table4[[#This Row],[reference]],listeMarchandises[],7,FALSE))</f>
        <v>267477063.12</v>
      </c>
      <c r="J89" t="str">
        <f>IF(Table4[[#This Row],[valeur]]&lt;=Table4[[#This Row],[seuil d''alerte]],"stock faible","stock normal")</f>
        <v>stock normal</v>
      </c>
    </row>
    <row r="90" spans="1:10" x14ac:dyDescent="0.25">
      <c r="A90" t="s">
        <v>189</v>
      </c>
      <c r="B90" t="str">
        <f>VLOOKUP(Table4[[#This Row],[reference]],listeMarchandises[],2,FALSE)</f>
        <v>Smartphone Prime 021</v>
      </c>
      <c r="C90" t="str">
        <f>VLOOKUP(Table4[[#This Row],[reference]],listeMarchandises[],3,FALSE)</f>
        <v>Smartphone</v>
      </c>
      <c r="D90">
        <f>VLOOKUP(Table4[[#This Row],[reference]],listeMarchandises[],4,FALSE)</f>
        <v>11</v>
      </c>
      <c r="E90">
        <f>VLOOKUP(Table4[[#This Row],[reference]],listeMarchandises[],6,FALSE)</f>
        <v>271</v>
      </c>
      <c r="F90">
        <f>SUMIF(listeEntrées[Reference],Table4[[#This Row],[reference]],listeEntrées[Quantite])</f>
        <v>0</v>
      </c>
      <c r="G90">
        <f>SUMIF(listeSorties[Reference],Table4[[#This Row],[reference]],listeSorties[Quantite])</f>
        <v>0</v>
      </c>
      <c r="H90">
        <f>Table4[[#This Row],[stock initial]]+Table4[[#This Row],[entrees]]-Table4[[#This Row],[sorties]]</f>
        <v>271</v>
      </c>
      <c r="I90">
        <f>Table4[[#This Row],[stock final]]*(VLOOKUP(Table4[[#This Row],[reference]],listeMarchandises[],7,FALSE))</f>
        <v>266637030.07999998</v>
      </c>
      <c r="J90" t="str">
        <f>IF(Table4[[#This Row],[valeur]]&lt;=Table4[[#This Row],[seuil d''alerte]],"stock faible","stock normal")</f>
        <v>stock normal</v>
      </c>
    </row>
    <row r="91" spans="1:10" x14ac:dyDescent="0.25">
      <c r="A91" t="s">
        <v>191</v>
      </c>
      <c r="B91" t="str">
        <f>VLOOKUP(Table4[[#This Row],[reference]],listeMarchandises[],2,FALSE)</f>
        <v>Groupe 2kVA 020</v>
      </c>
      <c r="C91" t="str">
        <f>VLOOKUP(Table4[[#This Row],[reference]],listeMarchandises[],3,FALSE)</f>
        <v>Groupe electrogene</v>
      </c>
      <c r="D91">
        <f>VLOOKUP(Table4[[#This Row],[reference]],listeMarchandises[],4,FALSE)</f>
        <v>5</v>
      </c>
      <c r="E91">
        <f>VLOOKUP(Table4[[#This Row],[reference]],listeMarchandises[],6,FALSE)</f>
        <v>198</v>
      </c>
      <c r="F91">
        <f>SUMIF(listeEntrées[Reference],Table4[[#This Row],[reference]],listeEntrées[Quantite])</f>
        <v>0</v>
      </c>
      <c r="G91">
        <f>SUMIF(listeSorties[Reference],Table4[[#This Row],[reference]],listeSorties[Quantite])</f>
        <v>0</v>
      </c>
      <c r="H91">
        <f>Table4[[#This Row],[stock initial]]+Table4[[#This Row],[entrees]]-Table4[[#This Row],[sorties]]</f>
        <v>198</v>
      </c>
      <c r="I91">
        <f>Table4[[#This Row],[stock final]]*(VLOOKUP(Table4[[#This Row],[reference]],listeMarchandises[],7,FALSE))</f>
        <v>702555755.22000003</v>
      </c>
      <c r="J91" t="str">
        <f>IF(Table4[[#This Row],[valeur]]&lt;=Table4[[#This Row],[seuil d''alerte]],"stock faible","stock normal")</f>
        <v>stock normal</v>
      </c>
    </row>
    <row r="92" spans="1:10" x14ac:dyDescent="0.25">
      <c r="A92" t="s">
        <v>193</v>
      </c>
      <c r="B92" t="str">
        <f>VLOOKUP(Table4[[#This Row],[reference]],listeMarchandises[],2,FALSE)</f>
        <v>Refrigerateur 028</v>
      </c>
      <c r="C92" t="str">
        <f>VLOOKUP(Table4[[#This Row],[reference]],listeMarchandises[],3,FALSE)</f>
        <v>Electromenager</v>
      </c>
      <c r="D92">
        <f>VLOOKUP(Table4[[#This Row],[reference]],listeMarchandises[],4,FALSE)</f>
        <v>25</v>
      </c>
      <c r="E92">
        <f>VLOOKUP(Table4[[#This Row],[reference]],listeMarchandises[],6,FALSE)</f>
        <v>224</v>
      </c>
      <c r="F92">
        <f>SUMIF(listeEntrées[Reference],Table4[[#This Row],[reference]],listeEntrées[Quantite])</f>
        <v>0</v>
      </c>
      <c r="G92">
        <f>SUMIF(listeSorties[Reference],Table4[[#This Row],[reference]],listeSorties[Quantite])</f>
        <v>77</v>
      </c>
      <c r="H92">
        <f>Table4[[#This Row],[stock initial]]+Table4[[#This Row],[entrees]]-Table4[[#This Row],[sorties]]</f>
        <v>147</v>
      </c>
      <c r="I92">
        <f>Table4[[#This Row],[stock final]]*(VLOOKUP(Table4[[#This Row],[reference]],listeMarchandises[],7,FALSE))</f>
        <v>47627926.5</v>
      </c>
      <c r="J92" t="str">
        <f>IF(Table4[[#This Row],[valeur]]&lt;=Table4[[#This Row],[seuil d''alerte]],"stock faible","stock normal")</f>
        <v>stock normal</v>
      </c>
    </row>
    <row r="93" spans="1:10" x14ac:dyDescent="0.25">
      <c r="A93" t="s">
        <v>195</v>
      </c>
      <c r="B93" t="str">
        <f>VLOOKUP(Table4[[#This Row],[reference]],listeMarchandises[],2,FALSE)</f>
        <v>Mixeur 029</v>
      </c>
      <c r="C93" t="str">
        <f>VLOOKUP(Table4[[#This Row],[reference]],listeMarchandises[],3,FALSE)</f>
        <v>Electromenager</v>
      </c>
      <c r="D93">
        <f>VLOOKUP(Table4[[#This Row],[reference]],listeMarchandises[],4,FALSE)</f>
        <v>5</v>
      </c>
      <c r="E93">
        <f>VLOOKUP(Table4[[#This Row],[reference]],listeMarchandises[],6,FALSE)</f>
        <v>218</v>
      </c>
      <c r="F93">
        <f>SUMIF(listeEntrées[Reference],Table4[[#This Row],[reference]],listeEntrées[Quantite])</f>
        <v>179</v>
      </c>
      <c r="G93">
        <f>SUMIF(listeSorties[Reference],Table4[[#This Row],[reference]],listeSorties[Quantite])</f>
        <v>10</v>
      </c>
      <c r="H93">
        <f>Table4[[#This Row],[stock initial]]+Table4[[#This Row],[entrees]]-Table4[[#This Row],[sorties]]</f>
        <v>387</v>
      </c>
      <c r="I93">
        <f>Table4[[#This Row],[stock final]]*(VLOOKUP(Table4[[#This Row],[reference]],listeMarchandises[],7,FALSE))</f>
        <v>119386554.93000001</v>
      </c>
      <c r="J93" t="str">
        <f>IF(Table4[[#This Row],[valeur]]&lt;=Table4[[#This Row],[seuil d''alerte]],"stock faible","stock normal")</f>
        <v>stock normal</v>
      </c>
    </row>
    <row r="94" spans="1:10" x14ac:dyDescent="0.25">
      <c r="A94" t="s">
        <v>197</v>
      </c>
      <c r="B94" t="str">
        <f>VLOOKUP(Table4[[#This Row],[reference]],listeMarchandises[],2,FALSE)</f>
        <v>Smartphone Lite 022</v>
      </c>
      <c r="C94" t="str">
        <f>VLOOKUP(Table4[[#This Row],[reference]],listeMarchandises[],3,FALSE)</f>
        <v>Smartphone</v>
      </c>
      <c r="D94">
        <f>VLOOKUP(Table4[[#This Row],[reference]],listeMarchandises[],4,FALSE)</f>
        <v>12</v>
      </c>
      <c r="E94">
        <f>VLOOKUP(Table4[[#This Row],[reference]],listeMarchandises[],6,FALSE)</f>
        <v>259</v>
      </c>
      <c r="F94">
        <f>SUMIF(listeEntrées[Reference],Table4[[#This Row],[reference]],listeEntrées[Quantite])</f>
        <v>95</v>
      </c>
      <c r="G94">
        <f>SUMIF(listeSorties[Reference],Table4[[#This Row],[reference]],listeSorties[Quantite])</f>
        <v>0</v>
      </c>
      <c r="H94">
        <f>Table4[[#This Row],[stock initial]]+Table4[[#This Row],[entrees]]-Table4[[#This Row],[sorties]]</f>
        <v>354</v>
      </c>
      <c r="I94">
        <f>Table4[[#This Row],[stock final]]*(VLOOKUP(Table4[[#This Row],[reference]],listeMarchandises[],7,FALSE))</f>
        <v>83124258.659999996</v>
      </c>
      <c r="J94" t="str">
        <f>IF(Table4[[#This Row],[valeur]]&lt;=Table4[[#This Row],[seuil d''alerte]],"stock faible","stock normal")</f>
        <v>stock normal</v>
      </c>
    </row>
    <row r="95" spans="1:10" x14ac:dyDescent="0.25">
      <c r="A95" t="s">
        <v>199</v>
      </c>
      <c r="B95" t="str">
        <f>VLOOKUP(Table4[[#This Row],[reference]],listeMarchandises[],2,FALSE)</f>
        <v>Groupe silencieux 6kVA 021</v>
      </c>
      <c r="C95" t="str">
        <f>VLOOKUP(Table4[[#This Row],[reference]],listeMarchandises[],3,FALSE)</f>
        <v>Groupe electrogene</v>
      </c>
      <c r="D95">
        <f>VLOOKUP(Table4[[#This Row],[reference]],listeMarchandises[],4,FALSE)</f>
        <v>8</v>
      </c>
      <c r="E95">
        <f>VLOOKUP(Table4[[#This Row],[reference]],listeMarchandises[],6,FALSE)</f>
        <v>59</v>
      </c>
      <c r="F95">
        <f>SUMIF(listeEntrées[Reference],Table4[[#This Row],[reference]],listeEntrées[Quantite])</f>
        <v>131</v>
      </c>
      <c r="G95">
        <f>SUMIF(listeSorties[Reference],Table4[[#This Row],[reference]],listeSorties[Quantite])</f>
        <v>0</v>
      </c>
      <c r="H95">
        <f>Table4[[#This Row],[stock initial]]+Table4[[#This Row],[entrees]]-Table4[[#This Row],[sorties]]</f>
        <v>190</v>
      </c>
      <c r="I95">
        <f>Table4[[#This Row],[stock final]]*(VLOOKUP(Table4[[#This Row],[reference]],listeMarchandises[],7,FALSE))</f>
        <v>72988317.599999994</v>
      </c>
      <c r="J95" t="str">
        <f>IF(Table4[[#This Row],[valeur]]&lt;=Table4[[#This Row],[seuil d''alerte]],"stock faible","stock normal")</f>
        <v>stock normal</v>
      </c>
    </row>
    <row r="96" spans="1:10" x14ac:dyDescent="0.25">
      <c r="A96" t="s">
        <v>201</v>
      </c>
      <c r="B96" t="str">
        <f>VLOOKUP(Table4[[#This Row],[reference]],listeMarchandises[],2,FALSE)</f>
        <v>Refrigerateur 030</v>
      </c>
      <c r="C96" t="str">
        <f>VLOOKUP(Table4[[#This Row],[reference]],listeMarchandises[],3,FALSE)</f>
        <v>Electromenager</v>
      </c>
      <c r="D96">
        <f>VLOOKUP(Table4[[#This Row],[reference]],listeMarchandises[],4,FALSE)</f>
        <v>12</v>
      </c>
      <c r="E96">
        <f>VLOOKUP(Table4[[#This Row],[reference]],listeMarchandises[],6,FALSE)</f>
        <v>92</v>
      </c>
      <c r="F96">
        <f>SUMIF(listeEntrées[Reference],Table4[[#This Row],[reference]],listeEntrées[Quantite])</f>
        <v>153</v>
      </c>
      <c r="G96">
        <f>SUMIF(listeSorties[Reference],Table4[[#This Row],[reference]],listeSorties[Quantite])</f>
        <v>104</v>
      </c>
      <c r="H96">
        <f>Table4[[#This Row],[stock initial]]+Table4[[#This Row],[entrees]]-Table4[[#This Row],[sorties]]</f>
        <v>141</v>
      </c>
      <c r="I96">
        <f>Table4[[#This Row],[stock final]]*(VLOOKUP(Table4[[#This Row],[reference]],listeMarchandises[],7,FALSE))</f>
        <v>101938204.59</v>
      </c>
      <c r="J96" t="str">
        <f>IF(Table4[[#This Row],[valeur]]&lt;=Table4[[#This Row],[seuil d''alerte]],"stock faible","stock normal")</f>
        <v>stock normal</v>
      </c>
    </row>
    <row r="97" spans="1:10" x14ac:dyDescent="0.25">
      <c r="A97" t="s">
        <v>203</v>
      </c>
      <c r="B97" t="str">
        <f>VLOOKUP(Table4[[#This Row],[reference]],listeMarchandises[],2,FALSE)</f>
        <v>Smartphone Ultra 023</v>
      </c>
      <c r="C97" t="str">
        <f>VLOOKUP(Table4[[#This Row],[reference]],listeMarchandises[],3,FALSE)</f>
        <v>Smartphone</v>
      </c>
      <c r="D97">
        <f>VLOOKUP(Table4[[#This Row],[reference]],listeMarchandises[],4,FALSE)</f>
        <v>24</v>
      </c>
      <c r="E97">
        <f>VLOOKUP(Table4[[#This Row],[reference]],listeMarchandises[],6,FALSE)</f>
        <v>201</v>
      </c>
      <c r="F97">
        <f>SUMIF(listeEntrées[Reference],Table4[[#This Row],[reference]],listeEntrées[Quantite])</f>
        <v>41</v>
      </c>
      <c r="G97">
        <f>SUMIF(listeSorties[Reference],Table4[[#This Row],[reference]],listeSorties[Quantite])</f>
        <v>145</v>
      </c>
      <c r="H97">
        <f>Table4[[#This Row],[stock initial]]+Table4[[#This Row],[entrees]]-Table4[[#This Row],[sorties]]</f>
        <v>97</v>
      </c>
      <c r="I97">
        <f>Table4[[#This Row],[stock final]]*(VLOOKUP(Table4[[#This Row],[reference]],listeMarchandises[],7,FALSE))</f>
        <v>123809194.64999999</v>
      </c>
      <c r="J97" t="str">
        <f>IF(Table4[[#This Row],[valeur]]&lt;=Table4[[#This Row],[seuil d''alerte]],"stock faible","stock normal")</f>
        <v>stock normal</v>
      </c>
    </row>
    <row r="98" spans="1:10" x14ac:dyDescent="0.25">
      <c r="A98" t="s">
        <v>205</v>
      </c>
      <c r="B98" t="str">
        <f>VLOOKUP(Table4[[#This Row],[reference]],listeMarchandises[],2,FALSE)</f>
        <v>Groupe 2kVA 022</v>
      </c>
      <c r="C98" t="str">
        <f>VLOOKUP(Table4[[#This Row],[reference]],listeMarchandises[],3,FALSE)</f>
        <v>Groupe electrogene</v>
      </c>
      <c r="D98">
        <f>VLOOKUP(Table4[[#This Row],[reference]],listeMarchandises[],4,FALSE)</f>
        <v>9</v>
      </c>
      <c r="E98">
        <f>VLOOKUP(Table4[[#This Row],[reference]],listeMarchandises[],6,FALSE)</f>
        <v>305</v>
      </c>
      <c r="F98">
        <f>SUMIF(listeEntrées[Reference],Table4[[#This Row],[reference]],listeEntrées[Quantite])</f>
        <v>53</v>
      </c>
      <c r="G98">
        <f>SUMIF(listeSorties[Reference],Table4[[#This Row],[reference]],listeSorties[Quantite])</f>
        <v>12</v>
      </c>
      <c r="H98">
        <f>Table4[[#This Row],[stock initial]]+Table4[[#This Row],[entrees]]-Table4[[#This Row],[sorties]]</f>
        <v>346</v>
      </c>
      <c r="I98">
        <f>Table4[[#This Row],[stock final]]*(VLOOKUP(Table4[[#This Row],[reference]],listeMarchandises[],7,FALSE))</f>
        <v>330062859.40000004</v>
      </c>
      <c r="J98" t="str">
        <f>IF(Table4[[#This Row],[valeur]]&lt;=Table4[[#This Row],[seuil d''alerte]],"stock faible","stock normal")</f>
        <v>stock normal</v>
      </c>
    </row>
    <row r="99" spans="1:10" x14ac:dyDescent="0.25">
      <c r="A99" t="s">
        <v>207</v>
      </c>
      <c r="B99" t="str">
        <f>VLOOKUP(Table4[[#This Row],[reference]],listeMarchandises[],2,FALSE)</f>
        <v>Aspirateur 031</v>
      </c>
      <c r="C99" t="str">
        <f>VLOOKUP(Table4[[#This Row],[reference]],listeMarchandises[],3,FALSE)</f>
        <v>Electromenager</v>
      </c>
      <c r="D99">
        <f>VLOOKUP(Table4[[#This Row],[reference]],listeMarchandises[],4,FALSE)</f>
        <v>24</v>
      </c>
      <c r="E99">
        <f>VLOOKUP(Table4[[#This Row],[reference]],listeMarchandises[],6,FALSE)</f>
        <v>372</v>
      </c>
      <c r="F99">
        <f>SUMIF(listeEntrées[Reference],Table4[[#This Row],[reference]],listeEntrées[Quantite])</f>
        <v>226</v>
      </c>
      <c r="G99">
        <f>SUMIF(listeSorties[Reference],Table4[[#This Row],[reference]],listeSorties[Quantite])</f>
        <v>123</v>
      </c>
      <c r="H99">
        <f>Table4[[#This Row],[stock initial]]+Table4[[#This Row],[entrees]]-Table4[[#This Row],[sorties]]</f>
        <v>475</v>
      </c>
      <c r="I99">
        <f>Table4[[#This Row],[stock final]]*(VLOOKUP(Table4[[#This Row],[reference]],listeMarchandises[],7,FALSE))</f>
        <v>264075570.74999997</v>
      </c>
      <c r="J99" t="str">
        <f>IF(Table4[[#This Row],[valeur]]&lt;=Table4[[#This Row],[seuil d''alerte]],"stock faible","stock normal")</f>
        <v>stock normal</v>
      </c>
    </row>
    <row r="100" spans="1:10" x14ac:dyDescent="0.25">
      <c r="A100" t="s">
        <v>209</v>
      </c>
      <c r="B100" t="str">
        <f>VLOOKUP(Table4[[#This Row],[reference]],listeMarchandises[],2,FALSE)</f>
        <v>Smartphone Nova 024</v>
      </c>
      <c r="C100" t="str">
        <f>VLOOKUP(Table4[[#This Row],[reference]],listeMarchandises[],3,FALSE)</f>
        <v>Smartphone</v>
      </c>
      <c r="D100">
        <f>VLOOKUP(Table4[[#This Row],[reference]],listeMarchandises[],4,FALSE)</f>
        <v>19</v>
      </c>
      <c r="E100">
        <f>VLOOKUP(Table4[[#This Row],[reference]],listeMarchandises[],6,FALSE)</f>
        <v>125</v>
      </c>
      <c r="F100">
        <f>SUMIF(listeEntrées[Reference],Table4[[#This Row],[reference]],listeEntrées[Quantite])</f>
        <v>309</v>
      </c>
      <c r="G100">
        <f>SUMIF(listeSorties[Reference],Table4[[#This Row],[reference]],listeSorties[Quantite])</f>
        <v>24</v>
      </c>
      <c r="H100">
        <f>Table4[[#This Row],[stock initial]]+Table4[[#This Row],[entrees]]-Table4[[#This Row],[sorties]]</f>
        <v>410</v>
      </c>
      <c r="I100">
        <f>Table4[[#This Row],[stock final]]*(VLOOKUP(Table4[[#This Row],[reference]],listeMarchandises[],7,FALSE))</f>
        <v>381338544.10000002</v>
      </c>
      <c r="J100" t="str">
        <f>IF(Table4[[#This Row],[valeur]]&lt;=Table4[[#This Row],[seuil d''alerte]],"stock faible","stock normal")</f>
        <v>stock normal</v>
      </c>
    </row>
    <row r="101" spans="1:10" x14ac:dyDescent="0.25">
      <c r="A101" t="s">
        <v>211</v>
      </c>
      <c r="B101" t="str">
        <f>VLOOKUP(Table4[[#This Row],[reference]],listeMarchandises[],2,FALSE)</f>
        <v>Smartphone Alpha 025</v>
      </c>
      <c r="C101" t="str">
        <f>VLOOKUP(Table4[[#This Row],[reference]],listeMarchandises[],3,FALSE)</f>
        <v>Smartphone</v>
      </c>
      <c r="D101">
        <f>VLOOKUP(Table4[[#This Row],[reference]],listeMarchandises[],4,FALSE)</f>
        <v>24</v>
      </c>
      <c r="E101">
        <f>VLOOKUP(Table4[[#This Row],[reference]],listeMarchandises[],6,FALSE)</f>
        <v>287</v>
      </c>
      <c r="F101">
        <f>SUMIF(listeEntrées[Reference],Table4[[#This Row],[reference]],listeEntrées[Quantite])</f>
        <v>38</v>
      </c>
      <c r="G101">
        <f>SUMIF(listeSorties[Reference],Table4[[#This Row],[reference]],listeSorties[Quantite])</f>
        <v>0</v>
      </c>
      <c r="H101">
        <f>Table4[[#This Row],[stock initial]]+Table4[[#This Row],[entrees]]-Table4[[#This Row],[sorties]]</f>
        <v>325</v>
      </c>
      <c r="I101">
        <f>Table4[[#This Row],[stock final]]*(VLOOKUP(Table4[[#This Row],[reference]],listeMarchandises[],7,FALSE))</f>
        <v>459638881</v>
      </c>
      <c r="J101" t="str">
        <f>IF(Table4[[#This Row],[valeur]]&lt;=Table4[[#This Row],[seuil d''alerte]],"stock faible","stock normal")</f>
        <v>stock normal</v>
      </c>
    </row>
    <row r="102" spans="1:10" x14ac:dyDescent="0.25">
      <c r="A102" t="s">
        <v>213</v>
      </c>
      <c r="B102" t="str">
        <f>VLOOKUP(Table4[[#This Row],[reference]],listeMarchandises[],2,FALSE)</f>
        <v>Mixeur 032</v>
      </c>
      <c r="C102" t="str">
        <f>VLOOKUP(Table4[[#This Row],[reference]],listeMarchandises[],3,FALSE)</f>
        <v>Electromenager</v>
      </c>
      <c r="D102">
        <f>VLOOKUP(Table4[[#This Row],[reference]],listeMarchandises[],4,FALSE)</f>
        <v>21</v>
      </c>
      <c r="E102">
        <f>VLOOKUP(Table4[[#This Row],[reference]],listeMarchandises[],6,FALSE)</f>
        <v>26</v>
      </c>
      <c r="F102">
        <f>SUMIF(listeEntrées[Reference],Table4[[#This Row],[reference]],listeEntrées[Quantite])</f>
        <v>222</v>
      </c>
      <c r="G102">
        <f>SUMIF(listeSorties[Reference],Table4[[#This Row],[reference]],listeSorties[Quantite])</f>
        <v>97</v>
      </c>
      <c r="H102">
        <f>Table4[[#This Row],[stock initial]]+Table4[[#This Row],[entrees]]-Table4[[#This Row],[sorties]]</f>
        <v>151</v>
      </c>
      <c r="I102">
        <f>Table4[[#This Row],[stock final]]*(VLOOKUP(Table4[[#This Row],[reference]],listeMarchandises[],7,FALSE))</f>
        <v>175536077.58000001</v>
      </c>
      <c r="J102" t="str">
        <f>IF(Table4[[#This Row],[valeur]]&lt;=Table4[[#This Row],[seuil d''alerte]],"stock faible","stock normal")</f>
        <v>stock normal</v>
      </c>
    </row>
    <row r="103" spans="1:10" x14ac:dyDescent="0.25">
      <c r="A103" t="s">
        <v>215</v>
      </c>
      <c r="B103" t="str">
        <f>VLOOKUP(Table4[[#This Row],[reference]],listeMarchandises[],2,FALSE)</f>
        <v>Batterie electronique 023</v>
      </c>
      <c r="C103" t="str">
        <f>VLOOKUP(Table4[[#This Row],[reference]],listeMarchandises[],3,FALSE)</f>
        <v>Instrument de musique</v>
      </c>
      <c r="D103">
        <f>VLOOKUP(Table4[[#This Row],[reference]],listeMarchandises[],4,FALSE)</f>
        <v>8</v>
      </c>
      <c r="E103">
        <f>VLOOKUP(Table4[[#This Row],[reference]],listeMarchandises[],6,FALSE)</f>
        <v>146</v>
      </c>
      <c r="F103">
        <f>SUMIF(listeEntrées[Reference],Table4[[#This Row],[reference]],listeEntrées[Quantite])</f>
        <v>51</v>
      </c>
      <c r="G103">
        <f>SUMIF(listeSorties[Reference],Table4[[#This Row],[reference]],listeSorties[Quantite])</f>
        <v>64</v>
      </c>
      <c r="H103">
        <f>Table4[[#This Row],[stock initial]]+Table4[[#This Row],[entrees]]-Table4[[#This Row],[sorties]]</f>
        <v>133</v>
      </c>
      <c r="I103">
        <f>Table4[[#This Row],[stock final]]*(VLOOKUP(Table4[[#This Row],[reference]],listeMarchandises[],7,FALSE))</f>
        <v>158706768.00999999</v>
      </c>
      <c r="J103" t="str">
        <f>IF(Table4[[#This Row],[valeur]]&lt;=Table4[[#This Row],[seuil d''alerte]],"stock faible","stock normal")</f>
        <v>stock normal</v>
      </c>
    </row>
    <row r="104" spans="1:10" x14ac:dyDescent="0.25">
      <c r="A104" t="s">
        <v>217</v>
      </c>
      <c r="B104" t="str">
        <f>VLOOKUP(Table4[[#This Row],[reference]],listeMarchandises[],2,FALSE)</f>
        <v>Groupe 2kVA 023</v>
      </c>
      <c r="C104" t="str">
        <f>VLOOKUP(Table4[[#This Row],[reference]],listeMarchandises[],3,FALSE)</f>
        <v>Groupe electrogene</v>
      </c>
      <c r="D104">
        <f>VLOOKUP(Table4[[#This Row],[reference]],listeMarchandises[],4,FALSE)</f>
        <v>15</v>
      </c>
      <c r="E104">
        <f>VLOOKUP(Table4[[#This Row],[reference]],listeMarchandises[],6,FALSE)</f>
        <v>318</v>
      </c>
      <c r="F104">
        <f>SUMIF(listeEntrées[Reference],Table4[[#This Row],[reference]],listeEntrées[Quantite])</f>
        <v>114</v>
      </c>
      <c r="G104">
        <f>SUMIF(listeSorties[Reference],Table4[[#This Row],[reference]],listeSorties[Quantite])</f>
        <v>271</v>
      </c>
      <c r="H104">
        <f>Table4[[#This Row],[stock initial]]+Table4[[#This Row],[entrees]]-Table4[[#This Row],[sorties]]</f>
        <v>161</v>
      </c>
      <c r="I104">
        <f>Table4[[#This Row],[stock final]]*(VLOOKUP(Table4[[#This Row],[reference]],listeMarchandises[],7,FALSE))</f>
        <v>216601783.09</v>
      </c>
      <c r="J104" t="str">
        <f>IF(Table4[[#This Row],[valeur]]&lt;=Table4[[#This Row],[seuil d''alerte]],"stock faible","stock normal")</f>
        <v>stock normal</v>
      </c>
    </row>
    <row r="105" spans="1:10" x14ac:dyDescent="0.25">
      <c r="A105" t="s">
        <v>219</v>
      </c>
      <c r="B105" t="str">
        <f>VLOOKUP(Table4[[#This Row],[reference]],listeMarchandises[],2,FALSE)</f>
        <v>Clavier arrangeur 024</v>
      </c>
      <c r="C105" t="str">
        <f>VLOOKUP(Table4[[#This Row],[reference]],listeMarchandises[],3,FALSE)</f>
        <v>Instrument de musique</v>
      </c>
      <c r="D105">
        <f>VLOOKUP(Table4[[#This Row],[reference]],listeMarchandises[],4,FALSE)</f>
        <v>14</v>
      </c>
      <c r="E105">
        <f>VLOOKUP(Table4[[#This Row],[reference]],listeMarchandises[],6,FALSE)</f>
        <v>292</v>
      </c>
      <c r="F105">
        <f>SUMIF(listeEntrées[Reference],Table4[[#This Row],[reference]],listeEntrées[Quantite])</f>
        <v>0</v>
      </c>
      <c r="G105">
        <f>SUMIF(listeSorties[Reference],Table4[[#This Row],[reference]],listeSorties[Quantite])</f>
        <v>81</v>
      </c>
      <c r="H105">
        <f>Table4[[#This Row],[stock initial]]+Table4[[#This Row],[entrees]]-Table4[[#This Row],[sorties]]</f>
        <v>211</v>
      </c>
      <c r="I105">
        <f>Table4[[#This Row],[stock final]]*(VLOOKUP(Table4[[#This Row],[reference]],listeMarchandises[],7,FALSE))</f>
        <v>397664956.44</v>
      </c>
      <c r="J105" t="str">
        <f>IF(Table4[[#This Row],[valeur]]&lt;=Table4[[#This Row],[seuil d''alerte]],"stock faible","stock normal")</f>
        <v>stock normal</v>
      </c>
    </row>
    <row r="106" spans="1:10" x14ac:dyDescent="0.25">
      <c r="A106" t="s">
        <v>221</v>
      </c>
      <c r="B106" t="str">
        <f>VLOOKUP(Table4[[#This Row],[reference]],listeMarchandises[],2,FALSE)</f>
        <v>Groupe 2kVA 024</v>
      </c>
      <c r="C106" t="str">
        <f>VLOOKUP(Table4[[#This Row],[reference]],listeMarchandises[],3,FALSE)</f>
        <v>Groupe electrogene</v>
      </c>
      <c r="D106">
        <f>VLOOKUP(Table4[[#This Row],[reference]],listeMarchandises[],4,FALSE)</f>
        <v>13</v>
      </c>
      <c r="E106">
        <f>VLOOKUP(Table4[[#This Row],[reference]],listeMarchandises[],6,FALSE)</f>
        <v>258</v>
      </c>
      <c r="F106">
        <f>SUMIF(listeEntrées[Reference],Table4[[#This Row],[reference]],listeEntrées[Quantite])</f>
        <v>0</v>
      </c>
      <c r="G106">
        <f>SUMIF(listeSorties[Reference],Table4[[#This Row],[reference]],listeSorties[Quantite])</f>
        <v>82</v>
      </c>
      <c r="H106">
        <f>Table4[[#This Row],[stock initial]]+Table4[[#This Row],[entrees]]-Table4[[#This Row],[sorties]]</f>
        <v>176</v>
      </c>
      <c r="I106">
        <f>Table4[[#This Row],[stock final]]*(VLOOKUP(Table4[[#This Row],[reference]],listeMarchandises[],7,FALSE))</f>
        <v>334595361.75999999</v>
      </c>
      <c r="J106" t="str">
        <f>IF(Table4[[#This Row],[valeur]]&lt;=Table4[[#This Row],[seuil d''alerte]],"stock faible","stock normal")</f>
        <v>stock normal</v>
      </c>
    </row>
    <row r="107" spans="1:10" x14ac:dyDescent="0.25">
      <c r="A107" t="s">
        <v>223</v>
      </c>
      <c r="B107" t="str">
        <f>VLOOKUP(Table4[[#This Row],[reference]],listeMarchandises[],2,FALSE)</f>
        <v>Groupe 5kVA 025</v>
      </c>
      <c r="C107" t="str">
        <f>VLOOKUP(Table4[[#This Row],[reference]],listeMarchandises[],3,FALSE)</f>
        <v>Groupe electrogene</v>
      </c>
      <c r="D107">
        <f>VLOOKUP(Table4[[#This Row],[reference]],listeMarchandises[],4,FALSE)</f>
        <v>9</v>
      </c>
      <c r="E107">
        <f>VLOOKUP(Table4[[#This Row],[reference]],listeMarchandises[],6,FALSE)</f>
        <v>71</v>
      </c>
      <c r="F107">
        <f>SUMIF(listeEntrées[Reference],Table4[[#This Row],[reference]],listeEntrées[Quantite])</f>
        <v>106</v>
      </c>
      <c r="G107">
        <f>SUMIF(listeSorties[Reference],Table4[[#This Row],[reference]],listeSorties[Quantite])</f>
        <v>72</v>
      </c>
      <c r="H107">
        <f>Table4[[#This Row],[stock initial]]+Table4[[#This Row],[entrees]]-Table4[[#This Row],[sorties]]</f>
        <v>105</v>
      </c>
      <c r="I107">
        <f>Table4[[#This Row],[stock final]]*(VLOOKUP(Table4[[#This Row],[reference]],listeMarchandises[],7,FALSE))</f>
        <v>281091571.94999999</v>
      </c>
      <c r="J107" t="str">
        <f>IF(Table4[[#This Row],[valeur]]&lt;=Table4[[#This Row],[seuil d''alerte]],"stock faible","stock normal")</f>
        <v>stock normal</v>
      </c>
    </row>
    <row r="108" spans="1:10" x14ac:dyDescent="0.25">
      <c r="A108" t="s">
        <v>225</v>
      </c>
      <c r="B108" t="str">
        <f>VLOOKUP(Table4[[#This Row],[reference]],listeMarchandises[],2,FALSE)</f>
        <v>Groupe 12kVA 026</v>
      </c>
      <c r="C108" t="str">
        <f>VLOOKUP(Table4[[#This Row],[reference]],listeMarchandises[],3,FALSE)</f>
        <v>Groupe electrogene</v>
      </c>
      <c r="D108">
        <f>VLOOKUP(Table4[[#This Row],[reference]],listeMarchandises[],4,FALSE)</f>
        <v>21</v>
      </c>
      <c r="E108">
        <f>VLOOKUP(Table4[[#This Row],[reference]],listeMarchandises[],6,FALSE)</f>
        <v>321</v>
      </c>
      <c r="F108">
        <f>SUMIF(listeEntrées[Reference],Table4[[#This Row],[reference]],listeEntrées[Quantite])</f>
        <v>149</v>
      </c>
      <c r="G108">
        <f>SUMIF(listeSorties[Reference],Table4[[#This Row],[reference]],listeSorties[Quantite])</f>
        <v>133</v>
      </c>
      <c r="H108">
        <f>Table4[[#This Row],[stock initial]]+Table4[[#This Row],[entrees]]-Table4[[#This Row],[sorties]]</f>
        <v>337</v>
      </c>
      <c r="I108">
        <f>Table4[[#This Row],[stock final]]*(VLOOKUP(Table4[[#This Row],[reference]],listeMarchandises[],7,FALSE))</f>
        <v>553984887.59000003</v>
      </c>
      <c r="J108" t="str">
        <f>IF(Table4[[#This Row],[valeur]]&lt;=Table4[[#This Row],[seuil d''alerte]],"stock faible","stock normal")</f>
        <v>stock normal</v>
      </c>
    </row>
    <row r="109" spans="1:10" x14ac:dyDescent="0.25">
      <c r="A109" t="s">
        <v>227</v>
      </c>
      <c r="B109" t="str">
        <f>VLOOKUP(Table4[[#This Row],[reference]],listeMarchandises[],2,FALSE)</f>
        <v>Lave-linge 033</v>
      </c>
      <c r="C109" t="str">
        <f>VLOOKUP(Table4[[#This Row],[reference]],listeMarchandises[],3,FALSE)</f>
        <v>Electromenager</v>
      </c>
      <c r="D109">
        <f>VLOOKUP(Table4[[#This Row],[reference]],listeMarchandises[],4,FALSE)</f>
        <v>7</v>
      </c>
      <c r="E109">
        <f>VLOOKUP(Table4[[#This Row],[reference]],listeMarchandises[],6,FALSE)</f>
        <v>37</v>
      </c>
      <c r="F109">
        <f>SUMIF(listeEntrées[Reference],Table4[[#This Row],[reference]],listeEntrées[Quantite])</f>
        <v>203</v>
      </c>
      <c r="G109">
        <f>SUMIF(listeSorties[Reference],Table4[[#This Row],[reference]],listeSorties[Quantite])</f>
        <v>118</v>
      </c>
      <c r="H109">
        <f>Table4[[#This Row],[stock initial]]+Table4[[#This Row],[entrees]]-Table4[[#This Row],[sorties]]</f>
        <v>122</v>
      </c>
      <c r="I109">
        <f>Table4[[#This Row],[stock final]]*(VLOOKUP(Table4[[#This Row],[reference]],listeMarchandises[],7,FALSE))</f>
        <v>90695580.799999997</v>
      </c>
      <c r="J109" t="str">
        <f>IF(Table4[[#This Row],[valeur]]&lt;=Table4[[#This Row],[seuil d''alerte]],"stock faible","stock normal")</f>
        <v>stock normal</v>
      </c>
    </row>
    <row r="110" spans="1:10" x14ac:dyDescent="0.25">
      <c r="A110" t="s">
        <v>229</v>
      </c>
      <c r="B110" t="str">
        <f>VLOOKUP(Table4[[#This Row],[reference]],listeMarchandises[],2,FALSE)</f>
        <v>Climatiseur 034</v>
      </c>
      <c r="C110" t="str">
        <f>VLOOKUP(Table4[[#This Row],[reference]],listeMarchandises[],3,FALSE)</f>
        <v>Electromenager</v>
      </c>
      <c r="D110">
        <f>VLOOKUP(Table4[[#This Row],[reference]],listeMarchandises[],4,FALSE)</f>
        <v>21</v>
      </c>
      <c r="E110">
        <f>VLOOKUP(Table4[[#This Row],[reference]],listeMarchandises[],6,FALSE)</f>
        <v>247</v>
      </c>
      <c r="F110">
        <f>SUMIF(listeEntrées[Reference],Table4[[#This Row],[reference]],listeEntrées[Quantite])</f>
        <v>0</v>
      </c>
      <c r="G110">
        <f>SUMIF(listeSorties[Reference],Table4[[#This Row],[reference]],listeSorties[Quantite])</f>
        <v>94</v>
      </c>
      <c r="H110">
        <f>Table4[[#This Row],[stock initial]]+Table4[[#This Row],[entrees]]-Table4[[#This Row],[sorties]]</f>
        <v>153</v>
      </c>
      <c r="I110">
        <f>Table4[[#This Row],[stock final]]*(VLOOKUP(Table4[[#This Row],[reference]],listeMarchandises[],7,FALSE))</f>
        <v>100290733.47</v>
      </c>
      <c r="J110" t="str">
        <f>IF(Table4[[#This Row],[valeur]]&lt;=Table4[[#This Row],[seuil d''alerte]],"stock faible","stock normal")</f>
        <v>stock normal</v>
      </c>
    </row>
    <row r="111" spans="1:10" x14ac:dyDescent="0.25">
      <c r="A111" t="s">
        <v>231</v>
      </c>
      <c r="B111" t="str">
        <f>VLOOKUP(Table4[[#This Row],[reference]],listeMarchandises[],2,FALSE)</f>
        <v>Smartphone Nova 026</v>
      </c>
      <c r="C111" t="str">
        <f>VLOOKUP(Table4[[#This Row],[reference]],listeMarchandises[],3,FALSE)</f>
        <v>Smartphone</v>
      </c>
      <c r="D111">
        <f>VLOOKUP(Table4[[#This Row],[reference]],listeMarchandises[],4,FALSE)</f>
        <v>23</v>
      </c>
      <c r="E111">
        <f>VLOOKUP(Table4[[#This Row],[reference]],listeMarchandises[],6,FALSE)</f>
        <v>326</v>
      </c>
      <c r="F111">
        <f>SUMIF(listeEntrées[Reference],Table4[[#This Row],[reference]],listeEntrées[Quantite])</f>
        <v>218</v>
      </c>
      <c r="G111">
        <f>SUMIF(listeSorties[Reference],Table4[[#This Row],[reference]],listeSorties[Quantite])</f>
        <v>100</v>
      </c>
      <c r="H111">
        <f>Table4[[#This Row],[stock initial]]+Table4[[#This Row],[entrees]]-Table4[[#This Row],[sorties]]</f>
        <v>444</v>
      </c>
      <c r="I111">
        <f>Table4[[#This Row],[stock final]]*(VLOOKUP(Table4[[#This Row],[reference]],listeMarchandises[],7,FALSE))</f>
        <v>132836923.44</v>
      </c>
      <c r="J111" t="str">
        <f>IF(Table4[[#This Row],[valeur]]&lt;=Table4[[#This Row],[seuil d''alerte]],"stock faible","stock normal")</f>
        <v>stock normal</v>
      </c>
    </row>
    <row r="112" spans="1:10" x14ac:dyDescent="0.25">
      <c r="A112" t="s">
        <v>233</v>
      </c>
      <c r="B112" t="str">
        <f>VLOOKUP(Table4[[#This Row],[reference]],listeMarchandises[],2,FALSE)</f>
        <v>Groupe silencieux 6kVA 027</v>
      </c>
      <c r="C112" t="str">
        <f>VLOOKUP(Table4[[#This Row],[reference]],listeMarchandises[],3,FALSE)</f>
        <v>Groupe electrogene</v>
      </c>
      <c r="D112">
        <f>VLOOKUP(Table4[[#This Row],[reference]],listeMarchandises[],4,FALSE)</f>
        <v>12</v>
      </c>
      <c r="E112">
        <f>VLOOKUP(Table4[[#This Row],[reference]],listeMarchandises[],6,FALSE)</f>
        <v>333</v>
      </c>
      <c r="F112">
        <f>SUMIF(listeEntrées[Reference],Table4[[#This Row],[reference]],listeEntrées[Quantite])</f>
        <v>91</v>
      </c>
      <c r="G112">
        <f>SUMIF(listeSorties[Reference],Table4[[#This Row],[reference]],listeSorties[Quantite])</f>
        <v>63</v>
      </c>
      <c r="H112">
        <f>Table4[[#This Row],[stock initial]]+Table4[[#This Row],[entrees]]-Table4[[#This Row],[sorties]]</f>
        <v>361</v>
      </c>
      <c r="I112">
        <f>Table4[[#This Row],[stock final]]*(VLOOKUP(Table4[[#This Row],[reference]],listeMarchandises[],7,FALSE))</f>
        <v>1133038065.6000001</v>
      </c>
      <c r="J112" t="str">
        <f>IF(Table4[[#This Row],[valeur]]&lt;=Table4[[#This Row],[seuil d''alerte]],"stock faible","stock normal")</f>
        <v>stock normal</v>
      </c>
    </row>
    <row r="113" spans="1:10" x14ac:dyDescent="0.25">
      <c r="A113" t="s">
        <v>235</v>
      </c>
      <c r="B113" t="str">
        <f>VLOOKUP(Table4[[#This Row],[reference]],listeMarchandises[],2,FALSE)</f>
        <v>Smartphone Prime 027</v>
      </c>
      <c r="C113" t="str">
        <f>VLOOKUP(Table4[[#This Row],[reference]],listeMarchandises[],3,FALSE)</f>
        <v>Smartphone</v>
      </c>
      <c r="D113">
        <f>VLOOKUP(Table4[[#This Row],[reference]],listeMarchandises[],4,FALSE)</f>
        <v>19</v>
      </c>
      <c r="E113">
        <f>VLOOKUP(Table4[[#This Row],[reference]],listeMarchandises[],6,FALSE)</f>
        <v>367</v>
      </c>
      <c r="F113">
        <f>SUMIF(listeEntrées[Reference],Table4[[#This Row],[reference]],listeEntrées[Quantite])</f>
        <v>63</v>
      </c>
      <c r="G113">
        <f>SUMIF(listeSorties[Reference],Table4[[#This Row],[reference]],listeSorties[Quantite])</f>
        <v>41</v>
      </c>
      <c r="H113">
        <f>Table4[[#This Row],[stock initial]]+Table4[[#This Row],[entrees]]-Table4[[#This Row],[sorties]]</f>
        <v>389</v>
      </c>
      <c r="I113">
        <f>Table4[[#This Row],[stock final]]*(VLOOKUP(Table4[[#This Row],[reference]],listeMarchandises[],7,FALSE))</f>
        <v>541493426.54999995</v>
      </c>
      <c r="J113" t="str">
        <f>IF(Table4[[#This Row],[valeur]]&lt;=Table4[[#This Row],[seuil d''alerte]],"stock faible","stock normal")</f>
        <v>stock normal</v>
      </c>
    </row>
    <row r="114" spans="1:10" x14ac:dyDescent="0.25">
      <c r="A114" t="s">
        <v>237</v>
      </c>
      <c r="B114" t="str">
        <f>VLOOKUP(Table4[[#This Row],[reference]],listeMarchandises[],2,FALSE)</f>
        <v>Smartphone Prime 028</v>
      </c>
      <c r="C114" t="str">
        <f>VLOOKUP(Table4[[#This Row],[reference]],listeMarchandises[],3,FALSE)</f>
        <v>Smartphone</v>
      </c>
      <c r="D114">
        <f>VLOOKUP(Table4[[#This Row],[reference]],listeMarchandises[],4,FALSE)</f>
        <v>9</v>
      </c>
      <c r="E114">
        <f>VLOOKUP(Table4[[#This Row],[reference]],listeMarchandises[],6,FALSE)</f>
        <v>104</v>
      </c>
      <c r="F114">
        <f>SUMIF(listeEntrées[Reference],Table4[[#This Row],[reference]],listeEntrées[Quantite])</f>
        <v>0</v>
      </c>
      <c r="G114">
        <f>SUMIF(listeSorties[Reference],Table4[[#This Row],[reference]],listeSorties[Quantite])</f>
        <v>100</v>
      </c>
      <c r="H114">
        <f>Table4[[#This Row],[stock initial]]+Table4[[#This Row],[entrees]]-Table4[[#This Row],[sorties]]</f>
        <v>4</v>
      </c>
      <c r="I114">
        <f>Table4[[#This Row],[stock final]]*(VLOOKUP(Table4[[#This Row],[reference]],listeMarchandises[],7,FALSE))</f>
        <v>5614006.4400000004</v>
      </c>
      <c r="J114" t="str">
        <f>IF(Table4[[#This Row],[valeur]]&lt;=Table4[[#This Row],[seuil d''alerte]],"stock faible","stock normal")</f>
        <v>stock normal</v>
      </c>
    </row>
    <row r="115" spans="1:10" x14ac:dyDescent="0.25">
      <c r="A115" t="s">
        <v>239</v>
      </c>
      <c r="B115" t="str">
        <f>VLOOKUP(Table4[[#This Row],[reference]],listeMarchandises[],2,FALSE)</f>
        <v>Smartphone Lite 029</v>
      </c>
      <c r="C115" t="str">
        <f>VLOOKUP(Table4[[#This Row],[reference]],listeMarchandises[],3,FALSE)</f>
        <v>Smartphone</v>
      </c>
      <c r="D115">
        <f>VLOOKUP(Table4[[#This Row],[reference]],listeMarchandises[],4,FALSE)</f>
        <v>18</v>
      </c>
      <c r="E115">
        <f>VLOOKUP(Table4[[#This Row],[reference]],listeMarchandises[],6,FALSE)</f>
        <v>280</v>
      </c>
      <c r="F115">
        <f>SUMIF(listeEntrées[Reference],Table4[[#This Row],[reference]],listeEntrées[Quantite])</f>
        <v>280</v>
      </c>
      <c r="G115">
        <f>SUMIF(listeSorties[Reference],Table4[[#This Row],[reference]],listeSorties[Quantite])</f>
        <v>87</v>
      </c>
      <c r="H115">
        <f>Table4[[#This Row],[stock initial]]+Table4[[#This Row],[entrees]]-Table4[[#This Row],[sorties]]</f>
        <v>473</v>
      </c>
      <c r="I115">
        <f>Table4[[#This Row],[stock final]]*(VLOOKUP(Table4[[#This Row],[reference]],listeMarchandises[],7,FALSE))</f>
        <v>404725084.60999995</v>
      </c>
      <c r="J115" t="str">
        <f>IF(Table4[[#This Row],[valeur]]&lt;=Table4[[#This Row],[seuil d''alerte]],"stock faible","stock normal")</f>
        <v>stock normal</v>
      </c>
    </row>
    <row r="116" spans="1:10" x14ac:dyDescent="0.25">
      <c r="A116" t="s">
        <v>241</v>
      </c>
      <c r="B116" t="str">
        <f>VLOOKUP(Table4[[#This Row],[reference]],listeMarchandises[],2,FALSE)</f>
        <v>Mixeur 035</v>
      </c>
      <c r="C116" t="str">
        <f>VLOOKUP(Table4[[#This Row],[reference]],listeMarchandises[],3,FALSE)</f>
        <v>Electromenager</v>
      </c>
      <c r="D116">
        <f>VLOOKUP(Table4[[#This Row],[reference]],listeMarchandises[],4,FALSE)</f>
        <v>11</v>
      </c>
      <c r="E116">
        <f>VLOOKUP(Table4[[#This Row],[reference]],listeMarchandises[],6,FALSE)</f>
        <v>275</v>
      </c>
      <c r="F116">
        <f>SUMIF(listeEntrées[Reference],Table4[[#This Row],[reference]],listeEntrées[Quantite])</f>
        <v>312</v>
      </c>
      <c r="G116">
        <f>SUMIF(listeSorties[Reference],Table4[[#This Row],[reference]],listeSorties[Quantite])</f>
        <v>72</v>
      </c>
      <c r="H116">
        <f>Table4[[#This Row],[stock initial]]+Table4[[#This Row],[entrees]]-Table4[[#This Row],[sorties]]</f>
        <v>515</v>
      </c>
      <c r="I116">
        <f>Table4[[#This Row],[stock final]]*(VLOOKUP(Table4[[#This Row],[reference]],listeMarchandises[],7,FALSE))</f>
        <v>553800218.45000005</v>
      </c>
      <c r="J116" t="str">
        <f>IF(Table4[[#This Row],[valeur]]&lt;=Table4[[#This Row],[seuil d''alerte]],"stock faible","stock normal")</f>
        <v>stock normal</v>
      </c>
    </row>
    <row r="117" spans="1:10" x14ac:dyDescent="0.25">
      <c r="A117" t="s">
        <v>243</v>
      </c>
      <c r="B117" t="str">
        <f>VLOOKUP(Table4[[#This Row],[reference]],listeMarchandises[],2,FALSE)</f>
        <v>Refrigerateur 036</v>
      </c>
      <c r="C117" t="str">
        <f>VLOOKUP(Table4[[#This Row],[reference]],listeMarchandises[],3,FALSE)</f>
        <v>Electromenager</v>
      </c>
      <c r="D117">
        <f>VLOOKUP(Table4[[#This Row],[reference]],listeMarchandises[],4,FALSE)</f>
        <v>3</v>
      </c>
      <c r="E117">
        <f>VLOOKUP(Table4[[#This Row],[reference]],listeMarchandises[],6,FALSE)</f>
        <v>203</v>
      </c>
      <c r="F117">
        <f>SUMIF(listeEntrées[Reference],Table4[[#This Row],[reference]],listeEntrées[Quantite])</f>
        <v>74</v>
      </c>
      <c r="G117">
        <f>SUMIF(listeSorties[Reference],Table4[[#This Row],[reference]],listeSorties[Quantite])</f>
        <v>50</v>
      </c>
      <c r="H117">
        <f>Table4[[#This Row],[stock initial]]+Table4[[#This Row],[entrees]]-Table4[[#This Row],[sorties]]</f>
        <v>227</v>
      </c>
      <c r="I117">
        <f>Table4[[#This Row],[stock final]]*(VLOOKUP(Table4[[#This Row],[reference]],listeMarchandises[],7,FALSE))</f>
        <v>86276941.010000005</v>
      </c>
      <c r="J117" t="str">
        <f>IF(Table4[[#This Row],[valeur]]&lt;=Table4[[#This Row],[seuil d''alerte]],"stock faible","stock normal")</f>
        <v>stock normal</v>
      </c>
    </row>
    <row r="118" spans="1:10" x14ac:dyDescent="0.25">
      <c r="A118" t="s">
        <v>245</v>
      </c>
      <c r="B118" t="str">
        <f>VLOOKUP(Table4[[#This Row],[reference]],listeMarchandises[],2,FALSE)</f>
        <v>Smartphone Ultra 030</v>
      </c>
      <c r="C118" t="str">
        <f>VLOOKUP(Table4[[#This Row],[reference]],listeMarchandises[],3,FALSE)</f>
        <v>Smartphone</v>
      </c>
      <c r="D118">
        <f>VLOOKUP(Table4[[#This Row],[reference]],listeMarchandises[],4,FALSE)</f>
        <v>19</v>
      </c>
      <c r="E118">
        <f>VLOOKUP(Table4[[#This Row],[reference]],listeMarchandises[],6,FALSE)</f>
        <v>46</v>
      </c>
      <c r="F118">
        <f>SUMIF(listeEntrées[Reference],Table4[[#This Row],[reference]],listeEntrées[Quantite])</f>
        <v>264</v>
      </c>
      <c r="G118">
        <f>SUMIF(listeSorties[Reference],Table4[[#This Row],[reference]],listeSorties[Quantite])</f>
        <v>77</v>
      </c>
      <c r="H118">
        <f>Table4[[#This Row],[stock initial]]+Table4[[#This Row],[entrees]]-Table4[[#This Row],[sorties]]</f>
        <v>233</v>
      </c>
      <c r="I118">
        <f>Table4[[#This Row],[stock final]]*(VLOOKUP(Table4[[#This Row],[reference]],listeMarchandises[],7,FALSE))</f>
        <v>234113560.59</v>
      </c>
      <c r="J118" t="str">
        <f>IF(Table4[[#This Row],[valeur]]&lt;=Table4[[#This Row],[seuil d''alerte]],"stock faible","stock normal")</f>
        <v>stock normal</v>
      </c>
    </row>
    <row r="119" spans="1:10" x14ac:dyDescent="0.25">
      <c r="A119" t="s">
        <v>247</v>
      </c>
      <c r="B119" t="str">
        <f>VLOOKUP(Table4[[#This Row],[reference]],listeMarchandises[],2,FALSE)</f>
        <v>Fer a repasser 037</v>
      </c>
      <c r="C119" t="str">
        <f>VLOOKUP(Table4[[#This Row],[reference]],listeMarchandises[],3,FALSE)</f>
        <v>Electromenager</v>
      </c>
      <c r="D119">
        <f>VLOOKUP(Table4[[#This Row],[reference]],listeMarchandises[],4,FALSE)</f>
        <v>12</v>
      </c>
      <c r="E119">
        <f>VLOOKUP(Table4[[#This Row],[reference]],listeMarchandises[],6,FALSE)</f>
        <v>131</v>
      </c>
      <c r="F119">
        <f>SUMIF(listeEntrées[Reference],Table4[[#This Row],[reference]],listeEntrées[Quantite])</f>
        <v>102</v>
      </c>
      <c r="G119">
        <f>SUMIF(listeSorties[Reference],Table4[[#This Row],[reference]],listeSorties[Quantite])</f>
        <v>165</v>
      </c>
      <c r="H119">
        <f>Table4[[#This Row],[stock initial]]+Table4[[#This Row],[entrees]]-Table4[[#This Row],[sorties]]</f>
        <v>68</v>
      </c>
      <c r="I119">
        <f>Table4[[#This Row],[stock final]]*(VLOOKUP(Table4[[#This Row],[reference]],listeMarchandises[],7,FALSE))</f>
        <v>28734509.079999998</v>
      </c>
      <c r="J119" t="str">
        <f>IF(Table4[[#This Row],[valeur]]&lt;=Table4[[#This Row],[seuil d''alerte]],"stock faible","stock normal")</f>
        <v>stock normal</v>
      </c>
    </row>
    <row r="120" spans="1:10" x14ac:dyDescent="0.25">
      <c r="A120" t="s">
        <v>249</v>
      </c>
      <c r="B120" t="str">
        <f>VLOOKUP(Table4[[#This Row],[reference]],listeMarchandises[],2,FALSE)</f>
        <v>Lave-linge 038</v>
      </c>
      <c r="C120" t="str">
        <f>VLOOKUP(Table4[[#This Row],[reference]],listeMarchandises[],3,FALSE)</f>
        <v>Electromenager</v>
      </c>
      <c r="D120">
        <f>VLOOKUP(Table4[[#This Row],[reference]],listeMarchandises[],4,FALSE)</f>
        <v>12</v>
      </c>
      <c r="E120">
        <f>VLOOKUP(Table4[[#This Row],[reference]],listeMarchandises[],6,FALSE)</f>
        <v>115</v>
      </c>
      <c r="F120">
        <f>SUMIF(listeEntrées[Reference],Table4[[#This Row],[reference]],listeEntrées[Quantite])</f>
        <v>175</v>
      </c>
      <c r="G120">
        <f>SUMIF(listeSorties[Reference],Table4[[#This Row],[reference]],listeSorties[Quantite])</f>
        <v>75</v>
      </c>
      <c r="H120">
        <f>Table4[[#This Row],[stock initial]]+Table4[[#This Row],[entrees]]-Table4[[#This Row],[sorties]]</f>
        <v>215</v>
      </c>
      <c r="I120">
        <f>Table4[[#This Row],[stock final]]*(VLOOKUP(Table4[[#This Row],[reference]],listeMarchandises[],7,FALSE))</f>
        <v>132318262.7</v>
      </c>
      <c r="J120" t="str">
        <f>IF(Table4[[#This Row],[valeur]]&lt;=Table4[[#This Row],[seuil d''alerte]],"stock faible","stock normal")</f>
        <v>stock normal</v>
      </c>
    </row>
    <row r="121" spans="1:10" x14ac:dyDescent="0.25">
      <c r="A121" t="s">
        <v>251</v>
      </c>
      <c r="B121" t="str">
        <f>VLOOKUP(Table4[[#This Row],[reference]],listeMarchandises[],2,FALSE)</f>
        <v>Climatiseur 039</v>
      </c>
      <c r="C121" t="str">
        <f>VLOOKUP(Table4[[#This Row],[reference]],listeMarchandises[],3,FALSE)</f>
        <v>Electromenager</v>
      </c>
      <c r="D121">
        <f>VLOOKUP(Table4[[#This Row],[reference]],listeMarchandises[],4,FALSE)</f>
        <v>24</v>
      </c>
      <c r="E121">
        <f>VLOOKUP(Table4[[#This Row],[reference]],listeMarchandises[],6,FALSE)</f>
        <v>221</v>
      </c>
      <c r="F121">
        <f>SUMIF(listeEntrées[Reference],Table4[[#This Row],[reference]],listeEntrées[Quantite])</f>
        <v>80</v>
      </c>
      <c r="G121">
        <f>SUMIF(listeSorties[Reference],Table4[[#This Row],[reference]],listeSorties[Quantite])</f>
        <v>3</v>
      </c>
      <c r="H121">
        <f>Table4[[#This Row],[stock initial]]+Table4[[#This Row],[entrees]]-Table4[[#This Row],[sorties]]</f>
        <v>298</v>
      </c>
      <c r="I121">
        <f>Table4[[#This Row],[stock final]]*(VLOOKUP(Table4[[#This Row],[reference]],listeMarchandises[],7,FALSE))</f>
        <v>111226998.08000001</v>
      </c>
      <c r="J121" t="str">
        <f>IF(Table4[[#This Row],[valeur]]&lt;=Table4[[#This Row],[seuil d''alerte]],"stock faible","stock normal")</f>
        <v>stock normal</v>
      </c>
    </row>
    <row r="122" spans="1:10" x14ac:dyDescent="0.25">
      <c r="A122" t="s">
        <v>253</v>
      </c>
      <c r="B122" t="str">
        <f>VLOOKUP(Table4[[#This Row],[reference]],listeMarchandises[],2,FALSE)</f>
        <v>Guitare acoustique 025</v>
      </c>
      <c r="C122" t="str">
        <f>VLOOKUP(Table4[[#This Row],[reference]],listeMarchandises[],3,FALSE)</f>
        <v>Instrument de musique</v>
      </c>
      <c r="D122">
        <f>VLOOKUP(Table4[[#This Row],[reference]],listeMarchandises[],4,FALSE)</f>
        <v>17</v>
      </c>
      <c r="E122">
        <f>VLOOKUP(Table4[[#This Row],[reference]],listeMarchandises[],6,FALSE)</f>
        <v>177</v>
      </c>
      <c r="F122">
        <f>SUMIF(listeEntrées[Reference],Table4[[#This Row],[reference]],listeEntrées[Quantite])</f>
        <v>173</v>
      </c>
      <c r="G122">
        <f>SUMIF(listeSorties[Reference],Table4[[#This Row],[reference]],listeSorties[Quantite])</f>
        <v>44</v>
      </c>
      <c r="H122">
        <f>Table4[[#This Row],[stock initial]]+Table4[[#This Row],[entrees]]-Table4[[#This Row],[sorties]]</f>
        <v>306</v>
      </c>
      <c r="I122">
        <f>Table4[[#This Row],[stock final]]*(VLOOKUP(Table4[[#This Row],[reference]],listeMarchandises[],7,FALSE))</f>
        <v>324115383.60000002</v>
      </c>
      <c r="J122" t="str">
        <f>IF(Table4[[#This Row],[valeur]]&lt;=Table4[[#This Row],[seuil d''alerte]],"stock faible","stock normal")</f>
        <v>stock normal</v>
      </c>
    </row>
    <row r="123" spans="1:10" x14ac:dyDescent="0.25">
      <c r="A123" t="s">
        <v>255</v>
      </c>
      <c r="B123" t="str">
        <f>VLOOKUP(Table4[[#This Row],[reference]],listeMarchandises[],2,FALSE)</f>
        <v>Piano numerique 026</v>
      </c>
      <c r="C123" t="str">
        <f>VLOOKUP(Table4[[#This Row],[reference]],listeMarchandises[],3,FALSE)</f>
        <v>Instrument de musique</v>
      </c>
      <c r="D123">
        <f>VLOOKUP(Table4[[#This Row],[reference]],listeMarchandises[],4,FALSE)</f>
        <v>12</v>
      </c>
      <c r="E123">
        <f>VLOOKUP(Table4[[#This Row],[reference]],listeMarchandises[],6,FALSE)</f>
        <v>192</v>
      </c>
      <c r="F123">
        <f>SUMIF(listeEntrées[Reference],Table4[[#This Row],[reference]],listeEntrées[Quantite])</f>
        <v>20</v>
      </c>
      <c r="G123">
        <f>SUMIF(listeSorties[Reference],Table4[[#This Row],[reference]],listeSorties[Quantite])</f>
        <v>0</v>
      </c>
      <c r="H123">
        <f>Table4[[#This Row],[stock initial]]+Table4[[#This Row],[entrees]]-Table4[[#This Row],[sorties]]</f>
        <v>212</v>
      </c>
      <c r="I123">
        <f>Table4[[#This Row],[stock final]]*(VLOOKUP(Table4[[#This Row],[reference]],listeMarchandises[],7,FALSE))</f>
        <v>177813535.07999998</v>
      </c>
      <c r="J123" t="str">
        <f>IF(Table4[[#This Row],[valeur]]&lt;=Table4[[#This Row],[seuil d''alerte]],"stock faible","stock normal")</f>
        <v>stock normal</v>
      </c>
    </row>
    <row r="124" spans="1:10" x14ac:dyDescent="0.25">
      <c r="A124" t="s">
        <v>257</v>
      </c>
      <c r="B124" t="str">
        <f>VLOOKUP(Table4[[#This Row],[reference]],listeMarchandises[],2,FALSE)</f>
        <v>Smartphone Alpha 031</v>
      </c>
      <c r="C124" t="str">
        <f>VLOOKUP(Table4[[#This Row],[reference]],listeMarchandises[],3,FALSE)</f>
        <v>Smartphone</v>
      </c>
      <c r="D124">
        <f>VLOOKUP(Table4[[#This Row],[reference]],listeMarchandises[],4,FALSE)</f>
        <v>19</v>
      </c>
      <c r="E124">
        <f>VLOOKUP(Table4[[#This Row],[reference]],listeMarchandises[],6,FALSE)</f>
        <v>26</v>
      </c>
      <c r="F124">
        <f>SUMIF(listeEntrées[Reference],Table4[[#This Row],[reference]],listeEntrées[Quantite])</f>
        <v>171</v>
      </c>
      <c r="G124">
        <f>SUMIF(listeSorties[Reference],Table4[[#This Row],[reference]],listeSorties[Quantite])</f>
        <v>69</v>
      </c>
      <c r="H124">
        <f>Table4[[#This Row],[stock initial]]+Table4[[#This Row],[entrees]]-Table4[[#This Row],[sorties]]</f>
        <v>128</v>
      </c>
      <c r="I124">
        <f>Table4[[#This Row],[stock final]]*(VLOOKUP(Table4[[#This Row],[reference]],listeMarchandises[],7,FALSE))</f>
        <v>164871336.96000001</v>
      </c>
      <c r="J124" t="str">
        <f>IF(Table4[[#This Row],[valeur]]&lt;=Table4[[#This Row],[seuil d''alerte]],"stock faible","stock normal")</f>
        <v>stock normal</v>
      </c>
    </row>
    <row r="125" spans="1:10" x14ac:dyDescent="0.25">
      <c r="A125" t="s">
        <v>259</v>
      </c>
      <c r="B125" t="str">
        <f>VLOOKUP(Table4[[#This Row],[reference]],listeMarchandises[],2,FALSE)</f>
        <v>Smartphone Lite 032</v>
      </c>
      <c r="C125" t="str">
        <f>VLOOKUP(Table4[[#This Row],[reference]],listeMarchandises[],3,FALSE)</f>
        <v>Smartphone</v>
      </c>
      <c r="D125">
        <f>VLOOKUP(Table4[[#This Row],[reference]],listeMarchandises[],4,FALSE)</f>
        <v>25</v>
      </c>
      <c r="E125">
        <f>VLOOKUP(Table4[[#This Row],[reference]],listeMarchandises[],6,FALSE)</f>
        <v>219</v>
      </c>
      <c r="F125">
        <f>SUMIF(listeEntrées[Reference],Table4[[#This Row],[reference]],listeEntrées[Quantite])</f>
        <v>17</v>
      </c>
      <c r="G125">
        <f>SUMIF(listeSorties[Reference],Table4[[#This Row],[reference]],listeSorties[Quantite])</f>
        <v>127</v>
      </c>
      <c r="H125">
        <f>Table4[[#This Row],[stock initial]]+Table4[[#This Row],[entrees]]-Table4[[#This Row],[sorties]]</f>
        <v>109</v>
      </c>
      <c r="I125">
        <f>Table4[[#This Row],[stock final]]*(VLOOKUP(Table4[[#This Row],[reference]],listeMarchandises[],7,FALSE))</f>
        <v>117235202.88000001</v>
      </c>
      <c r="J125" t="str">
        <f>IF(Table4[[#This Row],[valeur]]&lt;=Table4[[#This Row],[seuil d''alerte]],"stock faible","stock normal")</f>
        <v>stock normal</v>
      </c>
    </row>
    <row r="126" spans="1:10" x14ac:dyDescent="0.25">
      <c r="A126" t="s">
        <v>261</v>
      </c>
      <c r="B126" t="str">
        <f>VLOOKUP(Table4[[#This Row],[reference]],listeMarchandises[],2,FALSE)</f>
        <v>Smartphone Prime 033</v>
      </c>
      <c r="C126" t="str">
        <f>VLOOKUP(Table4[[#This Row],[reference]],listeMarchandises[],3,FALSE)</f>
        <v>Smartphone</v>
      </c>
      <c r="D126">
        <f>VLOOKUP(Table4[[#This Row],[reference]],listeMarchandises[],4,FALSE)</f>
        <v>5</v>
      </c>
      <c r="E126">
        <f>VLOOKUP(Table4[[#This Row],[reference]],listeMarchandises[],6,FALSE)</f>
        <v>146</v>
      </c>
      <c r="F126">
        <f>SUMIF(listeEntrées[Reference],Table4[[#This Row],[reference]],listeEntrées[Quantite])</f>
        <v>485</v>
      </c>
      <c r="G126">
        <f>SUMIF(listeSorties[Reference],Table4[[#This Row],[reference]],listeSorties[Quantite])</f>
        <v>2</v>
      </c>
      <c r="H126">
        <f>Table4[[#This Row],[stock initial]]+Table4[[#This Row],[entrees]]-Table4[[#This Row],[sorties]]</f>
        <v>629</v>
      </c>
      <c r="I126">
        <f>Table4[[#This Row],[stock final]]*(VLOOKUP(Table4[[#This Row],[reference]],listeMarchandises[],7,FALSE))</f>
        <v>966197169.37</v>
      </c>
      <c r="J126" t="str">
        <f>IF(Table4[[#This Row],[valeur]]&lt;=Table4[[#This Row],[seuil d''alerte]],"stock faible","stock normal")</f>
        <v>stock normal</v>
      </c>
    </row>
    <row r="127" spans="1:10" x14ac:dyDescent="0.25">
      <c r="A127" t="s">
        <v>263</v>
      </c>
      <c r="B127" t="str">
        <f>VLOOKUP(Table4[[#This Row],[reference]],listeMarchandises[],2,FALSE)</f>
        <v>Micro-ondes 040</v>
      </c>
      <c r="C127" t="str">
        <f>VLOOKUP(Table4[[#This Row],[reference]],listeMarchandises[],3,FALSE)</f>
        <v>Electromenager</v>
      </c>
      <c r="D127">
        <f>VLOOKUP(Table4[[#This Row],[reference]],listeMarchandises[],4,FALSE)</f>
        <v>3</v>
      </c>
      <c r="E127">
        <f>VLOOKUP(Table4[[#This Row],[reference]],listeMarchandises[],6,FALSE)</f>
        <v>116</v>
      </c>
      <c r="F127">
        <f>SUMIF(listeEntrées[Reference],Table4[[#This Row],[reference]],listeEntrées[Quantite])</f>
        <v>195</v>
      </c>
      <c r="G127">
        <f>SUMIF(listeSorties[Reference],Table4[[#This Row],[reference]],listeSorties[Quantite])</f>
        <v>0</v>
      </c>
      <c r="H127">
        <f>Table4[[#This Row],[stock initial]]+Table4[[#This Row],[entrees]]-Table4[[#This Row],[sorties]]</f>
        <v>311</v>
      </c>
      <c r="I127">
        <f>Table4[[#This Row],[stock final]]*(VLOOKUP(Table4[[#This Row],[reference]],listeMarchandises[],7,FALSE))</f>
        <v>280008473.69</v>
      </c>
      <c r="J127" t="str">
        <f>IF(Table4[[#This Row],[valeur]]&lt;=Table4[[#This Row],[seuil d''alerte]],"stock faible","stock normal")</f>
        <v>stock normal</v>
      </c>
    </row>
    <row r="128" spans="1:10" x14ac:dyDescent="0.25">
      <c r="A128" t="s">
        <v>265</v>
      </c>
      <c r="B128" t="str">
        <f>VLOOKUP(Table4[[#This Row],[reference]],listeMarchandises[],2,FALSE)</f>
        <v>Climatiseur 041</v>
      </c>
      <c r="C128" t="str">
        <f>VLOOKUP(Table4[[#This Row],[reference]],listeMarchandises[],3,FALSE)</f>
        <v>Electromenager</v>
      </c>
      <c r="D128">
        <f>VLOOKUP(Table4[[#This Row],[reference]],listeMarchandises[],4,FALSE)</f>
        <v>15</v>
      </c>
      <c r="E128">
        <f>VLOOKUP(Table4[[#This Row],[reference]],listeMarchandises[],6,FALSE)</f>
        <v>248</v>
      </c>
      <c r="F128">
        <f>SUMIF(listeEntrées[Reference],Table4[[#This Row],[reference]],listeEntrées[Quantite])</f>
        <v>96</v>
      </c>
      <c r="G128">
        <f>SUMIF(listeSorties[Reference],Table4[[#This Row],[reference]],listeSorties[Quantite])</f>
        <v>50</v>
      </c>
      <c r="H128">
        <f>Table4[[#This Row],[stock initial]]+Table4[[#This Row],[entrees]]-Table4[[#This Row],[sorties]]</f>
        <v>294</v>
      </c>
      <c r="I128">
        <f>Table4[[#This Row],[stock final]]*(VLOOKUP(Table4[[#This Row],[reference]],listeMarchandises[],7,FALSE))</f>
        <v>204255832.62</v>
      </c>
      <c r="J128" t="str">
        <f>IF(Table4[[#This Row],[valeur]]&lt;=Table4[[#This Row],[seuil d''alerte]],"stock faible","stock normal")</f>
        <v>stock normal</v>
      </c>
    </row>
    <row r="129" spans="1:10" x14ac:dyDescent="0.25">
      <c r="A129" t="s">
        <v>267</v>
      </c>
      <c r="B129" t="str">
        <f>VLOOKUP(Table4[[#This Row],[reference]],listeMarchandises[],2,FALSE)</f>
        <v>Mixeur 042</v>
      </c>
      <c r="C129" t="str">
        <f>VLOOKUP(Table4[[#This Row],[reference]],listeMarchandises[],3,FALSE)</f>
        <v>Electromenager</v>
      </c>
      <c r="D129">
        <f>VLOOKUP(Table4[[#This Row],[reference]],listeMarchandises[],4,FALSE)</f>
        <v>18</v>
      </c>
      <c r="E129">
        <f>VLOOKUP(Table4[[#This Row],[reference]],listeMarchandises[],6,FALSE)</f>
        <v>343</v>
      </c>
      <c r="F129">
        <f>SUMIF(listeEntrées[Reference],Table4[[#This Row],[reference]],listeEntrées[Quantite])</f>
        <v>369</v>
      </c>
      <c r="G129">
        <f>SUMIF(listeSorties[Reference],Table4[[#This Row],[reference]],listeSorties[Quantite])</f>
        <v>0</v>
      </c>
      <c r="H129">
        <f>Table4[[#This Row],[stock initial]]+Table4[[#This Row],[entrees]]-Table4[[#This Row],[sorties]]</f>
        <v>712</v>
      </c>
      <c r="I129">
        <f>Table4[[#This Row],[stock final]]*(VLOOKUP(Table4[[#This Row],[reference]],listeMarchandises[],7,FALSE))</f>
        <v>427705199.60000002</v>
      </c>
      <c r="J129" t="str">
        <f>IF(Table4[[#This Row],[valeur]]&lt;=Table4[[#This Row],[seuil d''alerte]],"stock faible","stock normal")</f>
        <v>stock normal</v>
      </c>
    </row>
    <row r="130" spans="1:10" x14ac:dyDescent="0.25">
      <c r="A130" t="s">
        <v>269</v>
      </c>
      <c r="B130" t="str">
        <f>VLOOKUP(Table4[[#This Row],[reference]],listeMarchandises[],2,FALSE)</f>
        <v>Groupe 12kVA 028</v>
      </c>
      <c r="C130" t="str">
        <f>VLOOKUP(Table4[[#This Row],[reference]],listeMarchandises[],3,FALSE)</f>
        <v>Groupe electrogene</v>
      </c>
      <c r="D130">
        <f>VLOOKUP(Table4[[#This Row],[reference]],listeMarchandises[],4,FALSE)</f>
        <v>9</v>
      </c>
      <c r="E130">
        <f>VLOOKUP(Table4[[#This Row],[reference]],listeMarchandises[],6,FALSE)</f>
        <v>149</v>
      </c>
      <c r="F130">
        <f>SUMIF(listeEntrées[Reference],Table4[[#This Row],[reference]],listeEntrées[Quantite])</f>
        <v>102</v>
      </c>
      <c r="G130">
        <f>SUMIF(listeSorties[Reference],Table4[[#This Row],[reference]],listeSorties[Quantite])</f>
        <v>36</v>
      </c>
      <c r="H130">
        <f>Table4[[#This Row],[stock initial]]+Table4[[#This Row],[entrees]]-Table4[[#This Row],[sorties]]</f>
        <v>215</v>
      </c>
      <c r="I130">
        <f>Table4[[#This Row],[stock final]]*(VLOOKUP(Table4[[#This Row],[reference]],listeMarchandises[],7,FALSE))</f>
        <v>830741795.95000005</v>
      </c>
      <c r="J130" t="str">
        <f>IF(Table4[[#This Row],[valeur]]&lt;=Table4[[#This Row],[seuil d''alerte]],"stock faible","stock normal")</f>
        <v>stock normal</v>
      </c>
    </row>
    <row r="131" spans="1:10" x14ac:dyDescent="0.25">
      <c r="A131" t="s">
        <v>271</v>
      </c>
      <c r="B131" t="str">
        <f>VLOOKUP(Table4[[#This Row],[reference]],listeMarchandises[],2,FALSE)</f>
        <v>Saxophone alto 027</v>
      </c>
      <c r="C131" t="str">
        <f>VLOOKUP(Table4[[#This Row],[reference]],listeMarchandises[],3,FALSE)</f>
        <v>Instrument de musique</v>
      </c>
      <c r="D131">
        <f>VLOOKUP(Table4[[#This Row],[reference]],listeMarchandises[],4,FALSE)</f>
        <v>7</v>
      </c>
      <c r="E131">
        <f>VLOOKUP(Table4[[#This Row],[reference]],listeMarchandises[],6,FALSE)</f>
        <v>80</v>
      </c>
      <c r="F131">
        <f>SUMIF(listeEntrées[Reference],Table4[[#This Row],[reference]],listeEntrées[Quantite])</f>
        <v>12</v>
      </c>
      <c r="G131">
        <f>SUMIF(listeSorties[Reference],Table4[[#This Row],[reference]],listeSorties[Quantite])</f>
        <v>67</v>
      </c>
      <c r="H131">
        <f>Table4[[#This Row],[stock initial]]+Table4[[#This Row],[entrees]]-Table4[[#This Row],[sorties]]</f>
        <v>25</v>
      </c>
      <c r="I131">
        <f>Table4[[#This Row],[stock final]]*(VLOOKUP(Table4[[#This Row],[reference]],listeMarchandises[],7,FALSE))</f>
        <v>23295503.5</v>
      </c>
      <c r="J131" t="str">
        <f>IF(Table4[[#This Row],[valeur]]&lt;=Table4[[#This Row],[seuil d''alerte]],"stock faible","stock normal")</f>
        <v>stock normal</v>
      </c>
    </row>
    <row r="132" spans="1:10" x14ac:dyDescent="0.25">
      <c r="A132" t="s">
        <v>273</v>
      </c>
      <c r="B132" t="str">
        <f>VLOOKUP(Table4[[#This Row],[reference]],listeMarchandises[],2,FALSE)</f>
        <v>Smartphone Edge 034</v>
      </c>
      <c r="C132" t="str">
        <f>VLOOKUP(Table4[[#This Row],[reference]],listeMarchandises[],3,FALSE)</f>
        <v>Smartphone</v>
      </c>
      <c r="D132">
        <f>VLOOKUP(Table4[[#This Row],[reference]],listeMarchandises[],4,FALSE)</f>
        <v>21</v>
      </c>
      <c r="E132">
        <f>VLOOKUP(Table4[[#This Row],[reference]],listeMarchandises[],6,FALSE)</f>
        <v>355</v>
      </c>
      <c r="F132">
        <f>SUMIF(listeEntrées[Reference],Table4[[#This Row],[reference]],listeEntrées[Quantite])</f>
        <v>0</v>
      </c>
      <c r="G132">
        <f>SUMIF(listeSorties[Reference],Table4[[#This Row],[reference]],listeSorties[Quantite])</f>
        <v>86</v>
      </c>
      <c r="H132">
        <f>Table4[[#This Row],[stock initial]]+Table4[[#This Row],[entrees]]-Table4[[#This Row],[sorties]]</f>
        <v>269</v>
      </c>
      <c r="I132">
        <f>Table4[[#This Row],[stock final]]*(VLOOKUP(Table4[[#This Row],[reference]],listeMarchandises[],7,FALSE))</f>
        <v>322446797.62</v>
      </c>
      <c r="J132" t="str">
        <f>IF(Table4[[#This Row],[valeur]]&lt;=Table4[[#This Row],[seuil d''alerte]],"stock faible","stock normal")</f>
        <v>stock normal</v>
      </c>
    </row>
    <row r="133" spans="1:10" x14ac:dyDescent="0.25">
      <c r="A133" t="s">
        <v>275</v>
      </c>
      <c r="B133" t="str">
        <f>VLOOKUP(Table4[[#This Row],[reference]],listeMarchandises[],2,FALSE)</f>
        <v>Smartphone Lite 035</v>
      </c>
      <c r="C133" t="str">
        <f>VLOOKUP(Table4[[#This Row],[reference]],listeMarchandises[],3,FALSE)</f>
        <v>Smartphone</v>
      </c>
      <c r="D133">
        <f>VLOOKUP(Table4[[#This Row],[reference]],listeMarchandises[],4,FALSE)</f>
        <v>20</v>
      </c>
      <c r="E133">
        <f>VLOOKUP(Table4[[#This Row],[reference]],listeMarchandises[],6,FALSE)</f>
        <v>55</v>
      </c>
      <c r="F133">
        <f>SUMIF(listeEntrées[Reference],Table4[[#This Row],[reference]],listeEntrées[Quantite])</f>
        <v>111</v>
      </c>
      <c r="G133">
        <f>SUMIF(listeSorties[Reference],Table4[[#This Row],[reference]],listeSorties[Quantite])</f>
        <v>147</v>
      </c>
      <c r="H133">
        <f>Table4[[#This Row],[stock initial]]+Table4[[#This Row],[entrees]]-Table4[[#This Row],[sorties]]</f>
        <v>19</v>
      </c>
      <c r="I133">
        <f>Table4[[#This Row],[stock final]]*(VLOOKUP(Table4[[#This Row],[reference]],listeMarchandises[],7,FALSE))</f>
        <v>7208174.9699999997</v>
      </c>
      <c r="J133" t="str">
        <f>IF(Table4[[#This Row],[valeur]]&lt;=Table4[[#This Row],[seuil d''alerte]],"stock faible","stock normal")</f>
        <v>stock normal</v>
      </c>
    </row>
    <row r="134" spans="1:10" x14ac:dyDescent="0.25">
      <c r="A134" t="s">
        <v>277</v>
      </c>
      <c r="B134" t="str">
        <f>VLOOKUP(Table4[[#This Row],[reference]],listeMarchandises[],2,FALSE)</f>
        <v>Smartphone Alpha 036</v>
      </c>
      <c r="C134" t="str">
        <f>VLOOKUP(Table4[[#This Row],[reference]],listeMarchandises[],3,FALSE)</f>
        <v>Smartphone</v>
      </c>
      <c r="D134">
        <f>VLOOKUP(Table4[[#This Row],[reference]],listeMarchandises[],4,FALSE)</f>
        <v>6</v>
      </c>
      <c r="E134">
        <f>VLOOKUP(Table4[[#This Row],[reference]],listeMarchandises[],6,FALSE)</f>
        <v>77</v>
      </c>
      <c r="F134">
        <f>SUMIF(listeEntrées[Reference],Table4[[#This Row],[reference]],listeEntrées[Quantite])</f>
        <v>91</v>
      </c>
      <c r="G134">
        <f>SUMIF(listeSorties[Reference],Table4[[#This Row],[reference]],listeSorties[Quantite])</f>
        <v>0</v>
      </c>
      <c r="H134">
        <f>Table4[[#This Row],[stock initial]]+Table4[[#This Row],[entrees]]-Table4[[#This Row],[sorties]]</f>
        <v>168</v>
      </c>
      <c r="I134">
        <f>Table4[[#This Row],[stock final]]*(VLOOKUP(Table4[[#This Row],[reference]],listeMarchandises[],7,FALSE))</f>
        <v>239483455.68000001</v>
      </c>
      <c r="J134" t="str">
        <f>IF(Table4[[#This Row],[valeur]]&lt;=Table4[[#This Row],[seuil d''alerte]],"stock faible","stock normal")</f>
        <v>stock normal</v>
      </c>
    </row>
    <row r="135" spans="1:10" x14ac:dyDescent="0.25">
      <c r="A135" t="s">
        <v>279</v>
      </c>
      <c r="B135" t="str">
        <f>VLOOKUP(Table4[[#This Row],[reference]],listeMarchandises[],2,FALSE)</f>
        <v>Violon etude 028</v>
      </c>
      <c r="C135" t="str">
        <f>VLOOKUP(Table4[[#This Row],[reference]],listeMarchandises[],3,FALSE)</f>
        <v>Instrument de musique</v>
      </c>
      <c r="D135">
        <f>VLOOKUP(Table4[[#This Row],[reference]],listeMarchandises[],4,FALSE)</f>
        <v>20</v>
      </c>
      <c r="E135">
        <f>VLOOKUP(Table4[[#This Row],[reference]],listeMarchandises[],6,FALSE)</f>
        <v>273</v>
      </c>
      <c r="F135">
        <f>SUMIF(listeEntrées[Reference],Table4[[#This Row],[reference]],listeEntrées[Quantite])</f>
        <v>0</v>
      </c>
      <c r="G135">
        <f>SUMIF(listeSorties[Reference],Table4[[#This Row],[reference]],listeSorties[Quantite])</f>
        <v>113</v>
      </c>
      <c r="H135">
        <f>Table4[[#This Row],[stock initial]]+Table4[[#This Row],[entrees]]-Table4[[#This Row],[sorties]]</f>
        <v>160</v>
      </c>
      <c r="I135">
        <f>Table4[[#This Row],[stock final]]*(VLOOKUP(Table4[[#This Row],[reference]],listeMarchandises[],7,FALSE))</f>
        <v>309224824</v>
      </c>
      <c r="J135" t="str">
        <f>IF(Table4[[#This Row],[valeur]]&lt;=Table4[[#This Row],[seuil d''alerte]],"stock faible","stock normal")</f>
        <v>stock normal</v>
      </c>
    </row>
    <row r="136" spans="1:10" x14ac:dyDescent="0.25">
      <c r="A136" t="s">
        <v>281</v>
      </c>
      <c r="B136" t="str">
        <f>VLOOKUP(Table4[[#This Row],[reference]],listeMarchandises[],2,FALSE)</f>
        <v>Piano numerique 029</v>
      </c>
      <c r="C136" t="str">
        <f>VLOOKUP(Table4[[#This Row],[reference]],listeMarchandises[],3,FALSE)</f>
        <v>Instrument de musique</v>
      </c>
      <c r="D136">
        <f>VLOOKUP(Table4[[#This Row],[reference]],listeMarchandises[],4,FALSE)</f>
        <v>25</v>
      </c>
      <c r="E136">
        <f>VLOOKUP(Table4[[#This Row],[reference]],listeMarchandises[],6,FALSE)</f>
        <v>308</v>
      </c>
      <c r="F136">
        <f>SUMIF(listeEntrées[Reference],Table4[[#This Row],[reference]],listeEntrées[Quantite])</f>
        <v>0</v>
      </c>
      <c r="G136">
        <f>SUMIF(listeSorties[Reference],Table4[[#This Row],[reference]],listeSorties[Quantite])</f>
        <v>65</v>
      </c>
      <c r="H136">
        <f>Table4[[#This Row],[stock initial]]+Table4[[#This Row],[entrees]]-Table4[[#This Row],[sorties]]</f>
        <v>243</v>
      </c>
      <c r="I136">
        <f>Table4[[#This Row],[stock final]]*(VLOOKUP(Table4[[#This Row],[reference]],listeMarchandises[],7,FALSE))</f>
        <v>435573062.81999999</v>
      </c>
      <c r="J136" t="str">
        <f>IF(Table4[[#This Row],[valeur]]&lt;=Table4[[#This Row],[seuil d''alerte]],"stock faible","stock normal")</f>
        <v>stock normal</v>
      </c>
    </row>
    <row r="137" spans="1:10" x14ac:dyDescent="0.25">
      <c r="A137" t="s">
        <v>283</v>
      </c>
      <c r="B137" t="str">
        <f>VLOOKUP(Table4[[#This Row],[reference]],listeMarchandises[],2,FALSE)</f>
        <v>Smartphone Prime 037</v>
      </c>
      <c r="C137" t="str">
        <f>VLOOKUP(Table4[[#This Row],[reference]],listeMarchandises[],3,FALSE)</f>
        <v>Smartphone</v>
      </c>
      <c r="D137">
        <f>VLOOKUP(Table4[[#This Row],[reference]],listeMarchandises[],4,FALSE)</f>
        <v>4</v>
      </c>
      <c r="E137">
        <f>VLOOKUP(Table4[[#This Row],[reference]],listeMarchandises[],6,FALSE)</f>
        <v>89</v>
      </c>
      <c r="F137">
        <f>SUMIF(listeEntrées[Reference],Table4[[#This Row],[reference]],listeEntrées[Quantite])</f>
        <v>23</v>
      </c>
      <c r="G137">
        <f>SUMIF(listeSorties[Reference],Table4[[#This Row],[reference]],listeSorties[Quantite])</f>
        <v>69</v>
      </c>
      <c r="H137">
        <f>Table4[[#This Row],[stock initial]]+Table4[[#This Row],[entrees]]-Table4[[#This Row],[sorties]]</f>
        <v>43</v>
      </c>
      <c r="I137">
        <f>Table4[[#This Row],[stock final]]*(VLOOKUP(Table4[[#This Row],[reference]],listeMarchandises[],7,FALSE))</f>
        <v>14531988.030000001</v>
      </c>
      <c r="J137" t="str">
        <f>IF(Table4[[#This Row],[valeur]]&lt;=Table4[[#This Row],[seuil d''alerte]],"stock faible","stock normal")</f>
        <v>stock normal</v>
      </c>
    </row>
    <row r="138" spans="1:10" x14ac:dyDescent="0.25">
      <c r="A138" t="s">
        <v>285</v>
      </c>
      <c r="B138" t="str">
        <f>VLOOKUP(Table4[[#This Row],[reference]],listeMarchandises[],2,FALSE)</f>
        <v>Guitare acoustique 030</v>
      </c>
      <c r="C138" t="str">
        <f>VLOOKUP(Table4[[#This Row],[reference]],listeMarchandises[],3,FALSE)</f>
        <v>Instrument de musique</v>
      </c>
      <c r="D138">
        <f>VLOOKUP(Table4[[#This Row],[reference]],listeMarchandises[],4,FALSE)</f>
        <v>20</v>
      </c>
      <c r="E138">
        <f>VLOOKUP(Table4[[#This Row],[reference]],listeMarchandises[],6,FALSE)</f>
        <v>322</v>
      </c>
      <c r="F138">
        <f>SUMIF(listeEntrées[Reference],Table4[[#This Row],[reference]],listeEntrées[Quantite])</f>
        <v>121</v>
      </c>
      <c r="G138">
        <f>SUMIF(listeSorties[Reference],Table4[[#This Row],[reference]],listeSorties[Quantite])</f>
        <v>187</v>
      </c>
      <c r="H138">
        <f>Table4[[#This Row],[stock initial]]+Table4[[#This Row],[entrees]]-Table4[[#This Row],[sorties]]</f>
        <v>256</v>
      </c>
      <c r="I138">
        <f>Table4[[#This Row],[stock final]]*(VLOOKUP(Table4[[#This Row],[reference]],listeMarchandises[],7,FALSE))</f>
        <v>355417669.12</v>
      </c>
      <c r="J138" t="str">
        <f>IF(Table4[[#This Row],[valeur]]&lt;=Table4[[#This Row],[seuil d''alerte]],"stock faible","stock normal")</f>
        <v>stock normal</v>
      </c>
    </row>
    <row r="139" spans="1:10" x14ac:dyDescent="0.25">
      <c r="A139" t="s">
        <v>287</v>
      </c>
      <c r="B139" t="str">
        <f>VLOOKUP(Table4[[#This Row],[reference]],listeMarchandises[],2,FALSE)</f>
        <v>Smartphone Lite 038</v>
      </c>
      <c r="C139" t="str">
        <f>VLOOKUP(Table4[[#This Row],[reference]],listeMarchandises[],3,FALSE)</f>
        <v>Smartphone</v>
      </c>
      <c r="D139">
        <f>VLOOKUP(Table4[[#This Row],[reference]],listeMarchandises[],4,FALSE)</f>
        <v>16</v>
      </c>
      <c r="E139">
        <f>VLOOKUP(Table4[[#This Row],[reference]],listeMarchandises[],6,FALSE)</f>
        <v>91</v>
      </c>
      <c r="F139">
        <f>SUMIF(listeEntrées[Reference],Table4[[#This Row],[reference]],listeEntrées[Quantite])</f>
        <v>148</v>
      </c>
      <c r="G139">
        <f>SUMIF(listeSorties[Reference],Table4[[#This Row],[reference]],listeSorties[Quantite])</f>
        <v>52</v>
      </c>
      <c r="H139">
        <f>Table4[[#This Row],[stock initial]]+Table4[[#This Row],[entrees]]-Table4[[#This Row],[sorties]]</f>
        <v>187</v>
      </c>
      <c r="I139">
        <f>Table4[[#This Row],[stock final]]*(VLOOKUP(Table4[[#This Row],[reference]],listeMarchandises[],7,FALSE))</f>
        <v>121301839.77999999</v>
      </c>
      <c r="J139" t="str">
        <f>IF(Table4[[#This Row],[valeur]]&lt;=Table4[[#This Row],[seuil d''alerte]],"stock faible","stock normal")</f>
        <v>stock normal</v>
      </c>
    </row>
    <row r="140" spans="1:10" x14ac:dyDescent="0.25">
      <c r="A140" t="s">
        <v>289</v>
      </c>
      <c r="B140" t="str">
        <f>VLOOKUP(Table4[[#This Row],[reference]],listeMarchandises[],2,FALSE)</f>
        <v>Batterie electronique 031</v>
      </c>
      <c r="C140" t="str">
        <f>VLOOKUP(Table4[[#This Row],[reference]],listeMarchandises[],3,FALSE)</f>
        <v>Instrument de musique</v>
      </c>
      <c r="D140">
        <f>VLOOKUP(Table4[[#This Row],[reference]],listeMarchandises[],4,FALSE)</f>
        <v>12</v>
      </c>
      <c r="E140">
        <f>VLOOKUP(Table4[[#This Row],[reference]],listeMarchandises[],6,FALSE)</f>
        <v>336</v>
      </c>
      <c r="F140">
        <f>SUMIF(listeEntrées[Reference],Table4[[#This Row],[reference]],listeEntrées[Quantite])</f>
        <v>0</v>
      </c>
      <c r="G140">
        <f>SUMIF(listeSorties[Reference],Table4[[#This Row],[reference]],listeSorties[Quantite])</f>
        <v>0</v>
      </c>
      <c r="H140">
        <f>Table4[[#This Row],[stock initial]]+Table4[[#This Row],[entrees]]-Table4[[#This Row],[sorties]]</f>
        <v>336</v>
      </c>
      <c r="I140">
        <f>Table4[[#This Row],[stock final]]*(VLOOKUP(Table4[[#This Row],[reference]],listeMarchandises[],7,FALSE))</f>
        <v>562741616.63999999</v>
      </c>
      <c r="J140" t="str">
        <f>IF(Table4[[#This Row],[valeur]]&lt;=Table4[[#This Row],[seuil d''alerte]],"stock faible","stock normal")</f>
        <v>stock normal</v>
      </c>
    </row>
    <row r="141" spans="1:10" x14ac:dyDescent="0.25">
      <c r="A141" t="s">
        <v>291</v>
      </c>
      <c r="B141" t="str">
        <f>VLOOKUP(Table4[[#This Row],[reference]],listeMarchandises[],2,FALSE)</f>
        <v>Groupe 2kVA 029</v>
      </c>
      <c r="C141" t="str">
        <f>VLOOKUP(Table4[[#This Row],[reference]],listeMarchandises[],3,FALSE)</f>
        <v>Groupe electrogene</v>
      </c>
      <c r="D141">
        <f>VLOOKUP(Table4[[#This Row],[reference]],listeMarchandises[],4,FALSE)</f>
        <v>12</v>
      </c>
      <c r="E141">
        <f>VLOOKUP(Table4[[#This Row],[reference]],listeMarchandises[],6,FALSE)</f>
        <v>75</v>
      </c>
      <c r="F141">
        <f>SUMIF(listeEntrées[Reference],Table4[[#This Row],[reference]],listeEntrées[Quantite])</f>
        <v>98</v>
      </c>
      <c r="G141">
        <f>SUMIF(listeSorties[Reference],Table4[[#This Row],[reference]],listeSorties[Quantite])</f>
        <v>185</v>
      </c>
      <c r="H141">
        <f>Table4[[#This Row],[stock initial]]+Table4[[#This Row],[entrees]]-Table4[[#This Row],[sorties]]</f>
        <v>-12</v>
      </c>
      <c r="I141">
        <f>Table4[[#This Row],[stock final]]*(VLOOKUP(Table4[[#This Row],[reference]],listeMarchandises[],7,FALSE))</f>
        <v>-21132631.440000001</v>
      </c>
      <c r="J141" t="str">
        <f>IF(Table4[[#This Row],[valeur]]&lt;=Table4[[#This Row],[seuil d''alerte]],"stock faible","stock normal")</f>
        <v>stock faible</v>
      </c>
    </row>
    <row r="142" spans="1:10" x14ac:dyDescent="0.25">
      <c r="A142" t="s">
        <v>293</v>
      </c>
      <c r="B142" t="str">
        <f>VLOOKUP(Table4[[#This Row],[reference]],listeMarchandises[],2,FALSE)</f>
        <v>Piano numerique 032</v>
      </c>
      <c r="C142" t="str">
        <f>VLOOKUP(Table4[[#This Row],[reference]],listeMarchandises[],3,FALSE)</f>
        <v>Instrument de musique</v>
      </c>
      <c r="D142">
        <f>VLOOKUP(Table4[[#This Row],[reference]],listeMarchandises[],4,FALSE)</f>
        <v>9</v>
      </c>
      <c r="E142">
        <f>VLOOKUP(Table4[[#This Row],[reference]],listeMarchandises[],6,FALSE)</f>
        <v>244</v>
      </c>
      <c r="F142">
        <f>SUMIF(listeEntrées[Reference],Table4[[#This Row],[reference]],listeEntrées[Quantite])</f>
        <v>245</v>
      </c>
      <c r="G142">
        <f>SUMIF(listeSorties[Reference],Table4[[#This Row],[reference]],listeSorties[Quantite])</f>
        <v>0</v>
      </c>
      <c r="H142">
        <f>Table4[[#This Row],[stock initial]]+Table4[[#This Row],[entrees]]-Table4[[#This Row],[sorties]]</f>
        <v>489</v>
      </c>
      <c r="I142">
        <f>Table4[[#This Row],[stock final]]*(VLOOKUP(Table4[[#This Row],[reference]],listeMarchandises[],7,FALSE))</f>
        <v>63962133.990000002</v>
      </c>
      <c r="J142" t="str">
        <f>IF(Table4[[#This Row],[valeur]]&lt;=Table4[[#This Row],[seuil d''alerte]],"stock faible","stock normal")</f>
        <v>stock normal</v>
      </c>
    </row>
    <row r="143" spans="1:10" x14ac:dyDescent="0.25">
      <c r="A143" t="s">
        <v>295</v>
      </c>
      <c r="B143" t="str">
        <f>VLOOKUP(Table4[[#This Row],[reference]],listeMarchandises[],2,FALSE)</f>
        <v>Piano numerique 033</v>
      </c>
      <c r="C143" t="str">
        <f>VLOOKUP(Table4[[#This Row],[reference]],listeMarchandises[],3,FALSE)</f>
        <v>Instrument de musique</v>
      </c>
      <c r="D143">
        <f>VLOOKUP(Table4[[#This Row],[reference]],listeMarchandises[],4,FALSE)</f>
        <v>7</v>
      </c>
      <c r="E143">
        <f>VLOOKUP(Table4[[#This Row],[reference]],listeMarchandises[],6,FALSE)</f>
        <v>269</v>
      </c>
      <c r="F143">
        <f>SUMIF(listeEntrées[Reference],Table4[[#This Row],[reference]],listeEntrées[Quantite])</f>
        <v>145</v>
      </c>
      <c r="G143">
        <f>SUMIF(listeSorties[Reference],Table4[[#This Row],[reference]],listeSorties[Quantite])</f>
        <v>112</v>
      </c>
      <c r="H143">
        <f>Table4[[#This Row],[stock initial]]+Table4[[#This Row],[entrees]]-Table4[[#This Row],[sorties]]</f>
        <v>302</v>
      </c>
      <c r="I143">
        <f>Table4[[#This Row],[stock final]]*(VLOOKUP(Table4[[#This Row],[reference]],listeMarchandises[],7,FALSE))</f>
        <v>194353649.25999999</v>
      </c>
      <c r="J143" t="str">
        <f>IF(Table4[[#This Row],[valeur]]&lt;=Table4[[#This Row],[seuil d''alerte]],"stock faible","stock normal")</f>
        <v>stock normal</v>
      </c>
    </row>
    <row r="144" spans="1:10" x14ac:dyDescent="0.25">
      <c r="A144" t="s">
        <v>297</v>
      </c>
      <c r="B144" t="str">
        <f>VLOOKUP(Table4[[#This Row],[reference]],listeMarchandises[],2,FALSE)</f>
        <v>Smartphone Alpha 039</v>
      </c>
      <c r="C144" t="str">
        <f>VLOOKUP(Table4[[#This Row],[reference]],listeMarchandises[],3,FALSE)</f>
        <v>Smartphone</v>
      </c>
      <c r="D144">
        <f>VLOOKUP(Table4[[#This Row],[reference]],listeMarchandises[],4,FALSE)</f>
        <v>25</v>
      </c>
      <c r="E144">
        <f>VLOOKUP(Table4[[#This Row],[reference]],listeMarchandises[],6,FALSE)</f>
        <v>224</v>
      </c>
      <c r="F144">
        <f>SUMIF(listeEntrées[Reference],Table4[[#This Row],[reference]],listeEntrées[Quantite])</f>
        <v>0</v>
      </c>
      <c r="G144">
        <f>SUMIF(listeSorties[Reference],Table4[[#This Row],[reference]],listeSorties[Quantite])</f>
        <v>54</v>
      </c>
      <c r="H144">
        <f>Table4[[#This Row],[stock initial]]+Table4[[#This Row],[entrees]]-Table4[[#This Row],[sorties]]</f>
        <v>170</v>
      </c>
      <c r="I144">
        <f>Table4[[#This Row],[stock final]]*(VLOOKUP(Table4[[#This Row],[reference]],listeMarchandises[],7,FALSE))</f>
        <v>220312730.80000001</v>
      </c>
      <c r="J144" t="str">
        <f>IF(Table4[[#This Row],[valeur]]&lt;=Table4[[#This Row],[seuil d''alerte]],"stock faible","stock normal")</f>
        <v>stock normal</v>
      </c>
    </row>
    <row r="145" spans="1:10" x14ac:dyDescent="0.25">
      <c r="A145" t="s">
        <v>299</v>
      </c>
      <c r="B145" t="str">
        <f>VLOOKUP(Table4[[#This Row],[reference]],listeMarchandises[],2,FALSE)</f>
        <v>Violon etude 034</v>
      </c>
      <c r="C145" t="str">
        <f>VLOOKUP(Table4[[#This Row],[reference]],listeMarchandises[],3,FALSE)</f>
        <v>Instrument de musique</v>
      </c>
      <c r="D145">
        <f>VLOOKUP(Table4[[#This Row],[reference]],listeMarchandises[],4,FALSE)</f>
        <v>14</v>
      </c>
      <c r="E145">
        <f>VLOOKUP(Table4[[#This Row],[reference]],listeMarchandises[],6,FALSE)</f>
        <v>340</v>
      </c>
      <c r="F145">
        <f>SUMIF(listeEntrées[Reference],Table4[[#This Row],[reference]],listeEntrées[Quantite])</f>
        <v>24</v>
      </c>
      <c r="G145">
        <f>SUMIF(listeSorties[Reference],Table4[[#This Row],[reference]],listeSorties[Quantite])</f>
        <v>58</v>
      </c>
      <c r="H145">
        <f>Table4[[#This Row],[stock initial]]+Table4[[#This Row],[entrees]]-Table4[[#This Row],[sorties]]</f>
        <v>306</v>
      </c>
      <c r="I145">
        <f>Table4[[#This Row],[stock final]]*(VLOOKUP(Table4[[#This Row],[reference]],listeMarchandises[],7,FALSE))</f>
        <v>71013790.25999999</v>
      </c>
      <c r="J145" t="str">
        <f>IF(Table4[[#This Row],[valeur]]&lt;=Table4[[#This Row],[seuil d''alerte]],"stock faible","stock normal")</f>
        <v>stock normal</v>
      </c>
    </row>
    <row r="146" spans="1:10" x14ac:dyDescent="0.25">
      <c r="A146" t="s">
        <v>301</v>
      </c>
      <c r="B146" t="str">
        <f>VLOOKUP(Table4[[#This Row],[reference]],listeMarchandises[],2,FALSE)</f>
        <v>Clavier arrangeur 035</v>
      </c>
      <c r="C146" t="str">
        <f>VLOOKUP(Table4[[#This Row],[reference]],listeMarchandises[],3,FALSE)</f>
        <v>Instrument de musique</v>
      </c>
      <c r="D146">
        <f>VLOOKUP(Table4[[#This Row],[reference]],listeMarchandises[],4,FALSE)</f>
        <v>7</v>
      </c>
      <c r="E146">
        <f>VLOOKUP(Table4[[#This Row],[reference]],listeMarchandises[],6,FALSE)</f>
        <v>173</v>
      </c>
      <c r="F146">
        <f>SUMIF(listeEntrées[Reference],Table4[[#This Row],[reference]],listeEntrées[Quantite])</f>
        <v>0</v>
      </c>
      <c r="G146">
        <f>SUMIF(listeSorties[Reference],Table4[[#This Row],[reference]],listeSorties[Quantite])</f>
        <v>0</v>
      </c>
      <c r="H146">
        <f>Table4[[#This Row],[stock initial]]+Table4[[#This Row],[entrees]]-Table4[[#This Row],[sorties]]</f>
        <v>173</v>
      </c>
      <c r="I146">
        <f>Table4[[#This Row],[stock final]]*(VLOOKUP(Table4[[#This Row],[reference]],listeMarchandises[],7,FALSE))</f>
        <v>201153110.02000001</v>
      </c>
      <c r="J146" t="str">
        <f>IF(Table4[[#This Row],[valeur]]&lt;=Table4[[#This Row],[seuil d''alerte]],"stock faible","stock normal")</f>
        <v>stock normal</v>
      </c>
    </row>
    <row r="147" spans="1:10" x14ac:dyDescent="0.25">
      <c r="A147" t="s">
        <v>303</v>
      </c>
      <c r="B147" t="str">
        <f>VLOOKUP(Table4[[#This Row],[reference]],listeMarchandises[],2,FALSE)</f>
        <v>Clavier arrangeur 036</v>
      </c>
      <c r="C147" t="str">
        <f>VLOOKUP(Table4[[#This Row],[reference]],listeMarchandises[],3,FALSE)</f>
        <v>Instrument de musique</v>
      </c>
      <c r="D147">
        <f>VLOOKUP(Table4[[#This Row],[reference]],listeMarchandises[],4,FALSE)</f>
        <v>15</v>
      </c>
      <c r="E147">
        <f>VLOOKUP(Table4[[#This Row],[reference]],listeMarchandises[],6,FALSE)</f>
        <v>102</v>
      </c>
      <c r="F147">
        <f>SUMIF(listeEntrées[Reference],Table4[[#This Row],[reference]],listeEntrées[Quantite])</f>
        <v>111</v>
      </c>
      <c r="G147">
        <f>SUMIF(listeSorties[Reference],Table4[[#This Row],[reference]],listeSorties[Quantite])</f>
        <v>0</v>
      </c>
      <c r="H147">
        <f>Table4[[#This Row],[stock initial]]+Table4[[#This Row],[entrees]]-Table4[[#This Row],[sorties]]</f>
        <v>213</v>
      </c>
      <c r="I147">
        <f>Table4[[#This Row],[stock final]]*(VLOOKUP(Table4[[#This Row],[reference]],listeMarchandises[],7,FALSE))</f>
        <v>132287956.86</v>
      </c>
      <c r="J147" t="str">
        <f>IF(Table4[[#This Row],[valeur]]&lt;=Table4[[#This Row],[seuil d''alerte]],"stock faible","stock normal")</f>
        <v>stock normal</v>
      </c>
    </row>
    <row r="148" spans="1:10" x14ac:dyDescent="0.25">
      <c r="A148" t="s">
        <v>305</v>
      </c>
      <c r="B148" t="str">
        <f>VLOOKUP(Table4[[#This Row],[reference]],listeMarchandises[],2,FALSE)</f>
        <v>Smartphone Prime 040</v>
      </c>
      <c r="C148" t="str">
        <f>VLOOKUP(Table4[[#This Row],[reference]],listeMarchandises[],3,FALSE)</f>
        <v>Smartphone</v>
      </c>
      <c r="D148">
        <f>VLOOKUP(Table4[[#This Row],[reference]],listeMarchandises[],4,FALSE)</f>
        <v>11</v>
      </c>
      <c r="E148">
        <f>VLOOKUP(Table4[[#This Row],[reference]],listeMarchandises[],6,FALSE)</f>
        <v>21</v>
      </c>
      <c r="F148">
        <f>SUMIF(listeEntrées[Reference],Table4[[#This Row],[reference]],listeEntrées[Quantite])</f>
        <v>96</v>
      </c>
      <c r="G148">
        <f>SUMIF(listeSorties[Reference],Table4[[#This Row],[reference]],listeSorties[Quantite])</f>
        <v>67</v>
      </c>
      <c r="H148">
        <f>Table4[[#This Row],[stock initial]]+Table4[[#This Row],[entrees]]-Table4[[#This Row],[sorties]]</f>
        <v>50</v>
      </c>
      <c r="I148">
        <f>Table4[[#This Row],[stock final]]*(VLOOKUP(Table4[[#This Row],[reference]],listeMarchandises[],7,FALSE))</f>
        <v>64190776.5</v>
      </c>
      <c r="J148" t="str">
        <f>IF(Table4[[#This Row],[valeur]]&lt;=Table4[[#This Row],[seuil d''alerte]],"stock faible","stock normal")</f>
        <v>stock normal</v>
      </c>
    </row>
    <row r="149" spans="1:10" x14ac:dyDescent="0.25">
      <c r="A149" t="s">
        <v>307</v>
      </c>
      <c r="B149" t="str">
        <f>VLOOKUP(Table4[[#This Row],[reference]],listeMarchandises[],2,FALSE)</f>
        <v>Mixeur 043</v>
      </c>
      <c r="C149" t="str">
        <f>VLOOKUP(Table4[[#This Row],[reference]],listeMarchandises[],3,FALSE)</f>
        <v>Electromenager</v>
      </c>
      <c r="D149">
        <f>VLOOKUP(Table4[[#This Row],[reference]],listeMarchandises[],4,FALSE)</f>
        <v>16</v>
      </c>
      <c r="E149">
        <f>VLOOKUP(Table4[[#This Row],[reference]],listeMarchandises[],6,FALSE)</f>
        <v>152</v>
      </c>
      <c r="F149">
        <f>SUMIF(listeEntrées[Reference],Table4[[#This Row],[reference]],listeEntrées[Quantite])</f>
        <v>115</v>
      </c>
      <c r="G149">
        <f>SUMIF(listeSorties[Reference],Table4[[#This Row],[reference]],listeSorties[Quantite])</f>
        <v>0</v>
      </c>
      <c r="H149">
        <f>Table4[[#This Row],[stock initial]]+Table4[[#This Row],[entrees]]-Table4[[#This Row],[sorties]]</f>
        <v>267</v>
      </c>
      <c r="I149">
        <f>Table4[[#This Row],[stock final]]*(VLOOKUP(Table4[[#This Row],[reference]],listeMarchandises[],7,FALSE))</f>
        <v>295792684.59000003</v>
      </c>
      <c r="J149" t="str">
        <f>IF(Table4[[#This Row],[valeur]]&lt;=Table4[[#This Row],[seuil d''alerte]],"stock faible","stock normal")</f>
        <v>stock normal</v>
      </c>
    </row>
    <row r="150" spans="1:10" x14ac:dyDescent="0.25">
      <c r="A150" t="s">
        <v>309</v>
      </c>
      <c r="B150" t="str">
        <f>VLOOKUP(Table4[[#This Row],[reference]],listeMarchandises[],2,FALSE)</f>
        <v>Groupe 12kVA 030</v>
      </c>
      <c r="C150" t="str">
        <f>VLOOKUP(Table4[[#This Row],[reference]],listeMarchandises[],3,FALSE)</f>
        <v>Groupe electrogene</v>
      </c>
      <c r="D150">
        <f>VLOOKUP(Table4[[#This Row],[reference]],listeMarchandises[],4,FALSE)</f>
        <v>13</v>
      </c>
      <c r="E150">
        <f>VLOOKUP(Table4[[#This Row],[reference]],listeMarchandises[],6,FALSE)</f>
        <v>252</v>
      </c>
      <c r="F150">
        <f>SUMIF(listeEntrées[Reference],Table4[[#This Row],[reference]],listeEntrées[Quantite])</f>
        <v>8</v>
      </c>
      <c r="G150">
        <f>SUMIF(listeSorties[Reference],Table4[[#This Row],[reference]],listeSorties[Quantite])</f>
        <v>189</v>
      </c>
      <c r="H150">
        <f>Table4[[#This Row],[stock initial]]+Table4[[#This Row],[entrees]]-Table4[[#This Row],[sorties]]</f>
        <v>71</v>
      </c>
      <c r="I150">
        <f>Table4[[#This Row],[stock final]]*(VLOOKUP(Table4[[#This Row],[reference]],listeMarchandises[],7,FALSE))</f>
        <v>125782717.47</v>
      </c>
      <c r="J150" t="str">
        <f>IF(Table4[[#This Row],[valeur]]&lt;=Table4[[#This Row],[seuil d''alerte]],"stock faible","stock normal")</f>
        <v>stock normal</v>
      </c>
    </row>
    <row r="151" spans="1:10" x14ac:dyDescent="0.25">
      <c r="A151" t="s">
        <v>311</v>
      </c>
      <c r="B151" t="str">
        <f>VLOOKUP(Table4[[#This Row],[reference]],listeMarchandises[],2,FALSE)</f>
        <v>Groupe 2kVA 031</v>
      </c>
      <c r="C151" t="str">
        <f>VLOOKUP(Table4[[#This Row],[reference]],listeMarchandises[],3,FALSE)</f>
        <v>Groupe electrogene</v>
      </c>
      <c r="D151">
        <f>VLOOKUP(Table4[[#This Row],[reference]],listeMarchandises[],4,FALSE)</f>
        <v>16</v>
      </c>
      <c r="E151">
        <f>VLOOKUP(Table4[[#This Row],[reference]],listeMarchandises[],6,FALSE)</f>
        <v>298</v>
      </c>
      <c r="F151">
        <f>SUMIF(listeEntrées[Reference],Table4[[#This Row],[reference]],listeEntrées[Quantite])</f>
        <v>84</v>
      </c>
      <c r="G151">
        <f>SUMIF(listeSorties[Reference],Table4[[#This Row],[reference]],listeSorties[Quantite])</f>
        <v>193</v>
      </c>
      <c r="H151">
        <f>Table4[[#This Row],[stock initial]]+Table4[[#This Row],[entrees]]-Table4[[#This Row],[sorties]]</f>
        <v>189</v>
      </c>
      <c r="I151">
        <f>Table4[[#This Row],[stock final]]*(VLOOKUP(Table4[[#This Row],[reference]],listeMarchandises[],7,FALSE))</f>
        <v>325557967.76999998</v>
      </c>
      <c r="J151" t="str">
        <f>IF(Table4[[#This Row],[valeur]]&lt;=Table4[[#This Row],[seuil d''alerte]],"stock faible","stock normal")</f>
        <v>stock normal</v>
      </c>
    </row>
    <row r="152" spans="1:10" x14ac:dyDescent="0.25">
      <c r="A152" t="s">
        <v>313</v>
      </c>
      <c r="B152" t="str">
        <f>VLOOKUP(Table4[[#This Row],[reference]],listeMarchandises[],2,FALSE)</f>
        <v>Groupe 5kVA 032</v>
      </c>
      <c r="C152" t="str">
        <f>VLOOKUP(Table4[[#This Row],[reference]],listeMarchandises[],3,FALSE)</f>
        <v>Groupe electrogene</v>
      </c>
      <c r="D152">
        <f>VLOOKUP(Table4[[#This Row],[reference]],listeMarchandises[],4,FALSE)</f>
        <v>22</v>
      </c>
      <c r="E152">
        <f>VLOOKUP(Table4[[#This Row],[reference]],listeMarchandises[],6,FALSE)</f>
        <v>263</v>
      </c>
      <c r="F152">
        <f>SUMIF(listeEntrées[Reference],Table4[[#This Row],[reference]],listeEntrées[Quantite])</f>
        <v>97</v>
      </c>
      <c r="G152">
        <f>SUMIF(listeSorties[Reference],Table4[[#This Row],[reference]],listeSorties[Quantite])</f>
        <v>76</v>
      </c>
      <c r="H152">
        <f>Table4[[#This Row],[stock initial]]+Table4[[#This Row],[entrees]]-Table4[[#This Row],[sorties]]</f>
        <v>284</v>
      </c>
      <c r="I152">
        <f>Table4[[#This Row],[stock final]]*(VLOOKUP(Table4[[#This Row],[reference]],listeMarchandises[],7,FALSE))</f>
        <v>403535543.19999999</v>
      </c>
      <c r="J152" t="str">
        <f>IF(Table4[[#This Row],[valeur]]&lt;=Table4[[#This Row],[seuil d''alerte]],"stock faible","stock normal")</f>
        <v>stock normal</v>
      </c>
    </row>
    <row r="153" spans="1:10" x14ac:dyDescent="0.25">
      <c r="A153" t="s">
        <v>315</v>
      </c>
      <c r="B153" t="str">
        <f>VLOOKUP(Table4[[#This Row],[reference]],listeMarchandises[],2,FALSE)</f>
        <v>Groupe 8kVA 033</v>
      </c>
      <c r="C153" t="str">
        <f>VLOOKUP(Table4[[#This Row],[reference]],listeMarchandises[],3,FALSE)</f>
        <v>Groupe electrogene</v>
      </c>
      <c r="D153">
        <f>VLOOKUP(Table4[[#This Row],[reference]],listeMarchandises[],4,FALSE)</f>
        <v>18</v>
      </c>
      <c r="E153">
        <f>VLOOKUP(Table4[[#This Row],[reference]],listeMarchandises[],6,FALSE)</f>
        <v>246</v>
      </c>
      <c r="F153">
        <f>SUMIF(listeEntrées[Reference],Table4[[#This Row],[reference]],listeEntrées[Quantite])</f>
        <v>58</v>
      </c>
      <c r="G153">
        <f>SUMIF(listeSorties[Reference],Table4[[#This Row],[reference]],listeSorties[Quantite])</f>
        <v>0</v>
      </c>
      <c r="H153">
        <f>Table4[[#This Row],[stock initial]]+Table4[[#This Row],[entrees]]-Table4[[#This Row],[sorties]]</f>
        <v>304</v>
      </c>
      <c r="I153">
        <f>Table4[[#This Row],[stock final]]*(VLOOKUP(Table4[[#This Row],[reference]],listeMarchandises[],7,FALSE))</f>
        <v>314424582.56</v>
      </c>
      <c r="J153" t="str">
        <f>IF(Table4[[#This Row],[valeur]]&lt;=Table4[[#This Row],[seuil d''alerte]],"stock faible","stock normal")</f>
        <v>stock normal</v>
      </c>
    </row>
    <row r="154" spans="1:10" x14ac:dyDescent="0.25">
      <c r="A154" t="s">
        <v>317</v>
      </c>
      <c r="B154" t="str">
        <f>VLOOKUP(Table4[[#This Row],[reference]],listeMarchandises[],2,FALSE)</f>
        <v>Groupe silencieux 6kVA 034</v>
      </c>
      <c r="C154" t="str">
        <f>VLOOKUP(Table4[[#This Row],[reference]],listeMarchandises[],3,FALSE)</f>
        <v>Groupe electrogene</v>
      </c>
      <c r="D154">
        <f>VLOOKUP(Table4[[#This Row],[reference]],listeMarchandises[],4,FALSE)</f>
        <v>23</v>
      </c>
      <c r="E154">
        <f>VLOOKUP(Table4[[#This Row],[reference]],listeMarchandises[],6,FALSE)</f>
        <v>74</v>
      </c>
      <c r="F154">
        <f>SUMIF(listeEntrées[Reference],Table4[[#This Row],[reference]],listeEntrées[Quantite])</f>
        <v>203</v>
      </c>
      <c r="G154">
        <f>SUMIF(listeSorties[Reference],Table4[[#This Row],[reference]],listeSorties[Quantite])</f>
        <v>220</v>
      </c>
      <c r="H154">
        <f>Table4[[#This Row],[stock initial]]+Table4[[#This Row],[entrees]]-Table4[[#This Row],[sorties]]</f>
        <v>57</v>
      </c>
      <c r="I154">
        <f>Table4[[#This Row],[stock final]]*(VLOOKUP(Table4[[#This Row],[reference]],listeMarchandises[],7,FALSE))</f>
        <v>114237721.92</v>
      </c>
      <c r="J154" t="str">
        <f>IF(Table4[[#This Row],[valeur]]&lt;=Table4[[#This Row],[seuil d''alerte]],"stock faible","stock normal")</f>
        <v>stock normal</v>
      </c>
    </row>
    <row r="155" spans="1:10" x14ac:dyDescent="0.25">
      <c r="A155" t="s">
        <v>319</v>
      </c>
      <c r="B155" t="str">
        <f>VLOOKUP(Table4[[#This Row],[reference]],listeMarchandises[],2,FALSE)</f>
        <v>Mixeur 044</v>
      </c>
      <c r="C155" t="str">
        <f>VLOOKUP(Table4[[#This Row],[reference]],listeMarchandises[],3,FALSE)</f>
        <v>Electromenager</v>
      </c>
      <c r="D155">
        <f>VLOOKUP(Table4[[#This Row],[reference]],listeMarchandises[],4,FALSE)</f>
        <v>24</v>
      </c>
      <c r="E155">
        <f>VLOOKUP(Table4[[#This Row],[reference]],listeMarchandises[],6,FALSE)</f>
        <v>234</v>
      </c>
      <c r="F155">
        <f>SUMIF(listeEntrées[Reference],Table4[[#This Row],[reference]],listeEntrées[Quantite])</f>
        <v>178</v>
      </c>
      <c r="G155">
        <f>SUMIF(listeSorties[Reference],Table4[[#This Row],[reference]],listeSorties[Quantite])</f>
        <v>183</v>
      </c>
      <c r="H155">
        <f>Table4[[#This Row],[stock initial]]+Table4[[#This Row],[entrees]]-Table4[[#This Row],[sorties]]</f>
        <v>229</v>
      </c>
      <c r="I155">
        <f>Table4[[#This Row],[stock final]]*(VLOOKUP(Table4[[#This Row],[reference]],listeMarchandises[],7,FALSE))</f>
        <v>247545974.91</v>
      </c>
      <c r="J155" t="str">
        <f>IF(Table4[[#This Row],[valeur]]&lt;=Table4[[#This Row],[seuil d''alerte]],"stock faible","stock normal")</f>
        <v>stock normal</v>
      </c>
    </row>
    <row r="156" spans="1:10" x14ac:dyDescent="0.25">
      <c r="A156" t="s">
        <v>321</v>
      </c>
      <c r="B156" t="str">
        <f>VLOOKUP(Table4[[#This Row],[reference]],listeMarchandises[],2,FALSE)</f>
        <v>Batterie electronique 037</v>
      </c>
      <c r="C156" t="str">
        <f>VLOOKUP(Table4[[#This Row],[reference]],listeMarchandises[],3,FALSE)</f>
        <v>Instrument de musique</v>
      </c>
      <c r="D156">
        <f>VLOOKUP(Table4[[#This Row],[reference]],listeMarchandises[],4,FALSE)</f>
        <v>23</v>
      </c>
      <c r="E156">
        <f>VLOOKUP(Table4[[#This Row],[reference]],listeMarchandises[],6,FALSE)</f>
        <v>176</v>
      </c>
      <c r="F156">
        <f>SUMIF(listeEntrées[Reference],Table4[[#This Row],[reference]],listeEntrées[Quantite])</f>
        <v>74</v>
      </c>
      <c r="G156">
        <f>SUMIF(listeSorties[Reference],Table4[[#This Row],[reference]],listeSorties[Quantite])</f>
        <v>75</v>
      </c>
      <c r="H156">
        <f>Table4[[#This Row],[stock initial]]+Table4[[#This Row],[entrees]]-Table4[[#This Row],[sorties]]</f>
        <v>175</v>
      </c>
      <c r="I156">
        <f>Table4[[#This Row],[stock final]]*(VLOOKUP(Table4[[#This Row],[reference]],listeMarchandises[],7,FALSE))</f>
        <v>298518916.5</v>
      </c>
      <c r="J156" t="str">
        <f>IF(Table4[[#This Row],[valeur]]&lt;=Table4[[#This Row],[seuil d''alerte]],"stock faible","stock normal")</f>
        <v>stock normal</v>
      </c>
    </row>
    <row r="157" spans="1:10" x14ac:dyDescent="0.25">
      <c r="A157" t="s">
        <v>323</v>
      </c>
      <c r="B157" t="str">
        <f>VLOOKUP(Table4[[#This Row],[reference]],listeMarchandises[],2,FALSE)</f>
        <v>Groupe 2kVA 035</v>
      </c>
      <c r="C157" t="str">
        <f>VLOOKUP(Table4[[#This Row],[reference]],listeMarchandises[],3,FALSE)</f>
        <v>Groupe electrogene</v>
      </c>
      <c r="D157">
        <f>VLOOKUP(Table4[[#This Row],[reference]],listeMarchandises[],4,FALSE)</f>
        <v>15</v>
      </c>
      <c r="E157">
        <f>VLOOKUP(Table4[[#This Row],[reference]],listeMarchandises[],6,FALSE)</f>
        <v>109</v>
      </c>
      <c r="F157">
        <f>SUMIF(listeEntrées[Reference],Table4[[#This Row],[reference]],listeEntrées[Quantite])</f>
        <v>105</v>
      </c>
      <c r="G157">
        <f>SUMIF(listeSorties[Reference],Table4[[#This Row],[reference]],listeSorties[Quantite])</f>
        <v>0</v>
      </c>
      <c r="H157">
        <f>Table4[[#This Row],[stock initial]]+Table4[[#This Row],[entrees]]-Table4[[#This Row],[sorties]]</f>
        <v>214</v>
      </c>
      <c r="I157">
        <f>Table4[[#This Row],[stock final]]*(VLOOKUP(Table4[[#This Row],[reference]],listeMarchandises[],7,FALSE))</f>
        <v>381364520.80000001</v>
      </c>
      <c r="J157" t="str">
        <f>IF(Table4[[#This Row],[valeur]]&lt;=Table4[[#This Row],[seuil d''alerte]],"stock faible","stock normal")</f>
        <v>stock normal</v>
      </c>
    </row>
    <row r="158" spans="1:10" x14ac:dyDescent="0.25">
      <c r="A158" t="s">
        <v>325</v>
      </c>
      <c r="B158" t="str">
        <f>VLOOKUP(Table4[[#This Row],[reference]],listeMarchandises[],2,FALSE)</f>
        <v>Clavier arrangeur 038</v>
      </c>
      <c r="C158" t="str">
        <f>VLOOKUP(Table4[[#This Row],[reference]],listeMarchandises[],3,FALSE)</f>
        <v>Instrument de musique</v>
      </c>
      <c r="D158">
        <f>VLOOKUP(Table4[[#This Row],[reference]],listeMarchandises[],4,FALSE)</f>
        <v>10</v>
      </c>
      <c r="E158">
        <f>VLOOKUP(Table4[[#This Row],[reference]],listeMarchandises[],6,FALSE)</f>
        <v>121</v>
      </c>
      <c r="F158">
        <f>SUMIF(listeEntrées[Reference],Table4[[#This Row],[reference]],listeEntrées[Quantite])</f>
        <v>168</v>
      </c>
      <c r="G158">
        <f>SUMIF(listeSorties[Reference],Table4[[#This Row],[reference]],listeSorties[Quantite])</f>
        <v>70</v>
      </c>
      <c r="H158">
        <f>Table4[[#This Row],[stock initial]]+Table4[[#This Row],[entrees]]-Table4[[#This Row],[sorties]]</f>
        <v>219</v>
      </c>
      <c r="I158">
        <f>Table4[[#This Row],[stock final]]*(VLOOKUP(Table4[[#This Row],[reference]],listeMarchandises[],7,FALSE))</f>
        <v>98709716.700000003</v>
      </c>
      <c r="J158" t="str">
        <f>IF(Table4[[#This Row],[valeur]]&lt;=Table4[[#This Row],[seuil d''alerte]],"stock faible","stock normal")</f>
        <v>stock normal</v>
      </c>
    </row>
    <row r="159" spans="1:10" x14ac:dyDescent="0.25">
      <c r="A159" t="s">
        <v>327</v>
      </c>
      <c r="B159" t="str">
        <f>VLOOKUP(Table4[[#This Row],[reference]],listeMarchandises[],2,FALSE)</f>
        <v>Groupe silencieux 6kVA 036</v>
      </c>
      <c r="C159" t="str">
        <f>VLOOKUP(Table4[[#This Row],[reference]],listeMarchandises[],3,FALSE)</f>
        <v>Groupe electrogene</v>
      </c>
      <c r="D159">
        <f>VLOOKUP(Table4[[#This Row],[reference]],listeMarchandises[],4,FALSE)</f>
        <v>10</v>
      </c>
      <c r="E159">
        <f>VLOOKUP(Table4[[#This Row],[reference]],listeMarchandises[],6,FALSE)</f>
        <v>222</v>
      </c>
      <c r="F159">
        <f>SUMIF(listeEntrées[Reference],Table4[[#This Row],[reference]],listeEntrées[Quantite])</f>
        <v>75</v>
      </c>
      <c r="G159">
        <f>SUMIF(listeSorties[Reference],Table4[[#This Row],[reference]],listeSorties[Quantite])</f>
        <v>60</v>
      </c>
      <c r="H159">
        <f>Table4[[#This Row],[stock initial]]+Table4[[#This Row],[entrees]]-Table4[[#This Row],[sorties]]</f>
        <v>237</v>
      </c>
      <c r="I159">
        <f>Table4[[#This Row],[stock final]]*(VLOOKUP(Table4[[#This Row],[reference]],listeMarchandises[],7,FALSE))</f>
        <v>824567335.58999991</v>
      </c>
      <c r="J159" t="str">
        <f>IF(Table4[[#This Row],[valeur]]&lt;=Table4[[#This Row],[seuil d''alerte]],"stock faible","stock normal")</f>
        <v>stock normal</v>
      </c>
    </row>
    <row r="160" spans="1:10" x14ac:dyDescent="0.25">
      <c r="A160" t="s">
        <v>329</v>
      </c>
      <c r="B160" t="str">
        <f>VLOOKUP(Table4[[#This Row],[reference]],listeMarchandises[],2,FALSE)</f>
        <v>Groupe silencieux 6kVA 037</v>
      </c>
      <c r="C160" t="str">
        <f>VLOOKUP(Table4[[#This Row],[reference]],listeMarchandises[],3,FALSE)</f>
        <v>Groupe electrogene</v>
      </c>
      <c r="D160">
        <f>VLOOKUP(Table4[[#This Row],[reference]],listeMarchandises[],4,FALSE)</f>
        <v>8</v>
      </c>
      <c r="E160">
        <f>VLOOKUP(Table4[[#This Row],[reference]],listeMarchandises[],6,FALSE)</f>
        <v>111</v>
      </c>
      <c r="F160">
        <f>SUMIF(listeEntrées[Reference],Table4[[#This Row],[reference]],listeEntrées[Quantite])</f>
        <v>82</v>
      </c>
      <c r="G160">
        <f>SUMIF(listeSorties[Reference],Table4[[#This Row],[reference]],listeSorties[Quantite])</f>
        <v>150</v>
      </c>
      <c r="H160">
        <f>Table4[[#This Row],[stock initial]]+Table4[[#This Row],[entrees]]-Table4[[#This Row],[sorties]]</f>
        <v>43</v>
      </c>
      <c r="I160">
        <f>Table4[[#This Row],[stock final]]*(VLOOKUP(Table4[[#This Row],[reference]],listeMarchandises[],7,FALSE))</f>
        <v>150517767.59999999</v>
      </c>
      <c r="J160" t="str">
        <f>IF(Table4[[#This Row],[valeur]]&lt;=Table4[[#This Row],[seuil d''alerte]],"stock faible","stock normal")</f>
        <v>stock normal</v>
      </c>
    </row>
    <row r="161" spans="1:10" x14ac:dyDescent="0.25">
      <c r="A161" t="s">
        <v>331</v>
      </c>
      <c r="B161" t="str">
        <f>VLOOKUP(Table4[[#This Row],[reference]],listeMarchandises[],2,FALSE)</f>
        <v>Groupe 12kVA 038</v>
      </c>
      <c r="C161" t="str">
        <f>VLOOKUP(Table4[[#This Row],[reference]],listeMarchandises[],3,FALSE)</f>
        <v>Groupe electrogene</v>
      </c>
      <c r="D161">
        <f>VLOOKUP(Table4[[#This Row],[reference]],listeMarchandises[],4,FALSE)</f>
        <v>16</v>
      </c>
      <c r="E161">
        <f>VLOOKUP(Table4[[#This Row],[reference]],listeMarchandises[],6,FALSE)</f>
        <v>332</v>
      </c>
      <c r="F161">
        <f>SUMIF(listeEntrées[Reference],Table4[[#This Row],[reference]],listeEntrées[Quantite])</f>
        <v>116</v>
      </c>
      <c r="G161">
        <f>SUMIF(listeSorties[Reference],Table4[[#This Row],[reference]],listeSorties[Quantite])</f>
        <v>1</v>
      </c>
      <c r="H161">
        <f>Table4[[#This Row],[stock initial]]+Table4[[#This Row],[entrees]]-Table4[[#This Row],[sorties]]</f>
        <v>447</v>
      </c>
      <c r="I161">
        <f>Table4[[#This Row],[stock final]]*(VLOOKUP(Table4[[#This Row],[reference]],listeMarchandises[],7,FALSE))</f>
        <v>181593186.78</v>
      </c>
      <c r="J161" t="str">
        <f>IF(Table4[[#This Row],[valeur]]&lt;=Table4[[#This Row],[seuil d''alerte]],"stock faible","stock normal")</f>
        <v>stock normal</v>
      </c>
    </row>
    <row r="162" spans="1:10" x14ac:dyDescent="0.25">
      <c r="A162" t="s">
        <v>333</v>
      </c>
      <c r="B162" t="str">
        <f>VLOOKUP(Table4[[#This Row],[reference]],listeMarchandises[],2,FALSE)</f>
        <v>Groupe 8kVA 039</v>
      </c>
      <c r="C162" t="str">
        <f>VLOOKUP(Table4[[#This Row],[reference]],listeMarchandises[],3,FALSE)</f>
        <v>Groupe electrogene</v>
      </c>
      <c r="D162">
        <f>VLOOKUP(Table4[[#This Row],[reference]],listeMarchandises[],4,FALSE)</f>
        <v>3</v>
      </c>
      <c r="E162">
        <f>VLOOKUP(Table4[[#This Row],[reference]],listeMarchandises[],6,FALSE)</f>
        <v>269</v>
      </c>
      <c r="F162">
        <f>SUMIF(listeEntrées[Reference],Table4[[#This Row],[reference]],listeEntrées[Quantite])</f>
        <v>63</v>
      </c>
      <c r="G162">
        <f>SUMIF(listeSorties[Reference],Table4[[#This Row],[reference]],listeSorties[Quantite])</f>
        <v>17</v>
      </c>
      <c r="H162">
        <f>Table4[[#This Row],[stock initial]]+Table4[[#This Row],[entrees]]-Table4[[#This Row],[sorties]]</f>
        <v>315</v>
      </c>
      <c r="I162">
        <f>Table4[[#This Row],[stock final]]*(VLOOKUP(Table4[[#This Row],[reference]],listeMarchandises[],7,FALSE))</f>
        <v>632258285.39999998</v>
      </c>
      <c r="J162" t="str">
        <f>IF(Table4[[#This Row],[valeur]]&lt;=Table4[[#This Row],[seuil d''alerte]],"stock faible","stock normal")</f>
        <v>stock normal</v>
      </c>
    </row>
    <row r="163" spans="1:10" x14ac:dyDescent="0.25">
      <c r="A163" t="s">
        <v>335</v>
      </c>
      <c r="B163" t="str">
        <f>VLOOKUP(Table4[[#This Row],[reference]],listeMarchandises[],2,FALSE)</f>
        <v>Smartphone Alpha 041</v>
      </c>
      <c r="C163" t="str">
        <f>VLOOKUP(Table4[[#This Row],[reference]],listeMarchandises[],3,FALSE)</f>
        <v>Smartphone</v>
      </c>
      <c r="D163">
        <f>VLOOKUP(Table4[[#This Row],[reference]],listeMarchandises[],4,FALSE)</f>
        <v>3</v>
      </c>
      <c r="E163">
        <f>VLOOKUP(Table4[[#This Row],[reference]],listeMarchandises[],6,FALSE)</f>
        <v>313</v>
      </c>
      <c r="F163">
        <f>SUMIF(listeEntrées[Reference],Table4[[#This Row],[reference]],listeEntrées[Quantite])</f>
        <v>55</v>
      </c>
      <c r="G163">
        <f>SUMIF(listeSorties[Reference],Table4[[#This Row],[reference]],listeSorties[Quantite])</f>
        <v>75</v>
      </c>
      <c r="H163">
        <f>Table4[[#This Row],[stock initial]]+Table4[[#This Row],[entrees]]-Table4[[#This Row],[sorties]]</f>
        <v>293</v>
      </c>
      <c r="I163">
        <f>Table4[[#This Row],[stock final]]*(VLOOKUP(Table4[[#This Row],[reference]],listeMarchandises[],7,FALSE))</f>
        <v>258039020.25</v>
      </c>
      <c r="J163" t="str">
        <f>IF(Table4[[#This Row],[valeur]]&lt;=Table4[[#This Row],[seuil d''alerte]],"stock faible","stock normal")</f>
        <v>stock normal</v>
      </c>
    </row>
    <row r="164" spans="1:10" x14ac:dyDescent="0.25">
      <c r="A164" t="s">
        <v>337</v>
      </c>
      <c r="B164" t="str">
        <f>VLOOKUP(Table4[[#This Row],[reference]],listeMarchandises[],2,FALSE)</f>
        <v>Fer a repasser 045</v>
      </c>
      <c r="C164" t="str">
        <f>VLOOKUP(Table4[[#This Row],[reference]],listeMarchandises[],3,FALSE)</f>
        <v>Electromenager</v>
      </c>
      <c r="D164">
        <f>VLOOKUP(Table4[[#This Row],[reference]],listeMarchandises[],4,FALSE)</f>
        <v>18</v>
      </c>
      <c r="E164">
        <f>VLOOKUP(Table4[[#This Row],[reference]],listeMarchandises[],6,FALSE)</f>
        <v>67</v>
      </c>
      <c r="F164">
        <f>SUMIF(listeEntrées[Reference],Table4[[#This Row],[reference]],listeEntrées[Quantite])</f>
        <v>131</v>
      </c>
      <c r="G164">
        <f>SUMIF(listeSorties[Reference],Table4[[#This Row],[reference]],listeSorties[Quantite])</f>
        <v>29</v>
      </c>
      <c r="H164">
        <f>Table4[[#This Row],[stock initial]]+Table4[[#This Row],[entrees]]-Table4[[#This Row],[sorties]]</f>
        <v>169</v>
      </c>
      <c r="I164">
        <f>Table4[[#This Row],[stock final]]*(VLOOKUP(Table4[[#This Row],[reference]],listeMarchandises[],7,FALSE))</f>
        <v>108195831.38000001</v>
      </c>
      <c r="J164" t="str">
        <f>IF(Table4[[#This Row],[valeur]]&lt;=Table4[[#This Row],[seuil d''alerte]],"stock faible","stock normal")</f>
        <v>stock normal</v>
      </c>
    </row>
    <row r="165" spans="1:10" x14ac:dyDescent="0.25">
      <c r="A165" t="s">
        <v>339</v>
      </c>
      <c r="B165" t="str">
        <f>VLOOKUP(Table4[[#This Row],[reference]],listeMarchandises[],2,FALSE)</f>
        <v>Fer a repasser 046</v>
      </c>
      <c r="C165" t="str">
        <f>VLOOKUP(Table4[[#This Row],[reference]],listeMarchandises[],3,FALSE)</f>
        <v>Electromenager</v>
      </c>
      <c r="D165">
        <f>VLOOKUP(Table4[[#This Row],[reference]],listeMarchandises[],4,FALSE)</f>
        <v>9</v>
      </c>
      <c r="E165">
        <f>VLOOKUP(Table4[[#This Row],[reference]],listeMarchandises[],6,FALSE)</f>
        <v>228</v>
      </c>
      <c r="F165">
        <f>SUMIF(listeEntrées[Reference],Table4[[#This Row],[reference]],listeEntrées[Quantite])</f>
        <v>0</v>
      </c>
      <c r="G165">
        <f>SUMIF(listeSorties[Reference],Table4[[#This Row],[reference]],listeSorties[Quantite])</f>
        <v>80</v>
      </c>
      <c r="H165">
        <f>Table4[[#This Row],[stock initial]]+Table4[[#This Row],[entrees]]-Table4[[#This Row],[sorties]]</f>
        <v>148</v>
      </c>
      <c r="I165">
        <f>Table4[[#This Row],[stock final]]*(VLOOKUP(Table4[[#This Row],[reference]],listeMarchandises[],7,FALSE))</f>
        <v>127588041.28</v>
      </c>
      <c r="J165" t="str">
        <f>IF(Table4[[#This Row],[valeur]]&lt;=Table4[[#This Row],[seuil d''alerte]],"stock faible","stock normal")</f>
        <v>stock normal</v>
      </c>
    </row>
    <row r="166" spans="1:10" x14ac:dyDescent="0.25">
      <c r="A166" t="s">
        <v>341</v>
      </c>
      <c r="B166" t="str">
        <f>VLOOKUP(Table4[[#This Row],[reference]],listeMarchandises[],2,FALSE)</f>
        <v>Smartphone Lite 042</v>
      </c>
      <c r="C166" t="str">
        <f>VLOOKUP(Table4[[#This Row],[reference]],listeMarchandises[],3,FALSE)</f>
        <v>Smartphone</v>
      </c>
      <c r="D166">
        <f>VLOOKUP(Table4[[#This Row],[reference]],listeMarchandises[],4,FALSE)</f>
        <v>24</v>
      </c>
      <c r="E166">
        <f>VLOOKUP(Table4[[#This Row],[reference]],listeMarchandises[],6,FALSE)</f>
        <v>318</v>
      </c>
      <c r="F166">
        <f>SUMIF(listeEntrées[Reference],Table4[[#This Row],[reference]],listeEntrées[Quantite])</f>
        <v>301</v>
      </c>
      <c r="G166">
        <f>SUMIF(listeSorties[Reference],Table4[[#This Row],[reference]],listeSorties[Quantite])</f>
        <v>35</v>
      </c>
      <c r="H166">
        <f>Table4[[#This Row],[stock initial]]+Table4[[#This Row],[entrees]]-Table4[[#This Row],[sorties]]</f>
        <v>584</v>
      </c>
      <c r="I166">
        <f>Table4[[#This Row],[stock final]]*(VLOOKUP(Table4[[#This Row],[reference]],listeMarchandises[],7,FALSE))</f>
        <v>366015038.71999997</v>
      </c>
      <c r="J166" t="str">
        <f>IF(Table4[[#This Row],[valeur]]&lt;=Table4[[#This Row],[seuil d''alerte]],"stock faible","stock normal")</f>
        <v>stock normal</v>
      </c>
    </row>
    <row r="167" spans="1:10" x14ac:dyDescent="0.25">
      <c r="A167" t="s">
        <v>343</v>
      </c>
      <c r="B167" t="str">
        <f>VLOOKUP(Table4[[#This Row],[reference]],listeMarchandises[],2,FALSE)</f>
        <v>Piano numerique 039</v>
      </c>
      <c r="C167" t="str">
        <f>VLOOKUP(Table4[[#This Row],[reference]],listeMarchandises[],3,FALSE)</f>
        <v>Instrument de musique</v>
      </c>
      <c r="D167">
        <f>VLOOKUP(Table4[[#This Row],[reference]],listeMarchandises[],4,FALSE)</f>
        <v>25</v>
      </c>
      <c r="E167">
        <f>VLOOKUP(Table4[[#This Row],[reference]],listeMarchandises[],6,FALSE)</f>
        <v>220</v>
      </c>
      <c r="F167">
        <f>SUMIF(listeEntrées[Reference],Table4[[#This Row],[reference]],listeEntrées[Quantite])</f>
        <v>0</v>
      </c>
      <c r="G167">
        <f>SUMIF(listeSorties[Reference],Table4[[#This Row],[reference]],listeSorties[Quantite])</f>
        <v>78</v>
      </c>
      <c r="H167">
        <f>Table4[[#This Row],[stock initial]]+Table4[[#This Row],[entrees]]-Table4[[#This Row],[sorties]]</f>
        <v>142</v>
      </c>
      <c r="I167">
        <f>Table4[[#This Row],[stock final]]*(VLOOKUP(Table4[[#This Row],[reference]],listeMarchandises[],7,FALSE))</f>
        <v>24883452.359999999</v>
      </c>
      <c r="J167" t="str">
        <f>IF(Table4[[#This Row],[valeur]]&lt;=Table4[[#This Row],[seuil d''alerte]],"stock faible","stock normal")</f>
        <v>stock normal</v>
      </c>
    </row>
    <row r="168" spans="1:10" x14ac:dyDescent="0.25">
      <c r="A168" t="s">
        <v>345</v>
      </c>
      <c r="B168" t="str">
        <f>VLOOKUP(Table4[[#This Row],[reference]],listeMarchandises[],2,FALSE)</f>
        <v>Mixeur 047</v>
      </c>
      <c r="C168" t="str">
        <f>VLOOKUP(Table4[[#This Row],[reference]],listeMarchandises[],3,FALSE)</f>
        <v>Electromenager</v>
      </c>
      <c r="D168">
        <f>VLOOKUP(Table4[[#This Row],[reference]],listeMarchandises[],4,FALSE)</f>
        <v>25</v>
      </c>
      <c r="E168">
        <f>VLOOKUP(Table4[[#This Row],[reference]],listeMarchandises[],6,FALSE)</f>
        <v>312</v>
      </c>
      <c r="F168">
        <f>SUMIF(listeEntrées[Reference],Table4[[#This Row],[reference]],listeEntrées[Quantite])</f>
        <v>107</v>
      </c>
      <c r="G168">
        <f>SUMIF(listeSorties[Reference],Table4[[#This Row],[reference]],listeSorties[Quantite])</f>
        <v>153</v>
      </c>
      <c r="H168">
        <f>Table4[[#This Row],[stock initial]]+Table4[[#This Row],[entrees]]-Table4[[#This Row],[sorties]]</f>
        <v>266</v>
      </c>
      <c r="I168">
        <f>Table4[[#This Row],[stock final]]*(VLOOKUP(Table4[[#This Row],[reference]],listeMarchandises[],7,FALSE))</f>
        <v>238343732.61999997</v>
      </c>
      <c r="J168" t="str">
        <f>IF(Table4[[#This Row],[valeur]]&lt;=Table4[[#This Row],[seuil d''alerte]],"stock faible","stock normal")</f>
        <v>stock normal</v>
      </c>
    </row>
    <row r="169" spans="1:10" x14ac:dyDescent="0.25">
      <c r="A169" t="s">
        <v>347</v>
      </c>
      <c r="B169" t="str">
        <f>VLOOKUP(Table4[[#This Row],[reference]],listeMarchandises[],2,FALSE)</f>
        <v>Groupe 2kVA 040</v>
      </c>
      <c r="C169" t="str">
        <f>VLOOKUP(Table4[[#This Row],[reference]],listeMarchandises[],3,FALSE)</f>
        <v>Groupe electrogene</v>
      </c>
      <c r="D169">
        <f>VLOOKUP(Table4[[#This Row],[reference]],listeMarchandises[],4,FALSE)</f>
        <v>22</v>
      </c>
      <c r="E169">
        <f>VLOOKUP(Table4[[#This Row],[reference]],listeMarchandises[],6,FALSE)</f>
        <v>266</v>
      </c>
      <c r="F169">
        <f>SUMIF(listeEntrées[Reference],Table4[[#This Row],[reference]],listeEntrées[Quantite])</f>
        <v>177</v>
      </c>
      <c r="G169">
        <f>SUMIF(listeSorties[Reference],Table4[[#This Row],[reference]],listeSorties[Quantite])</f>
        <v>151</v>
      </c>
      <c r="H169">
        <f>Table4[[#This Row],[stock initial]]+Table4[[#This Row],[entrees]]-Table4[[#This Row],[sorties]]</f>
        <v>292</v>
      </c>
      <c r="I169">
        <f>Table4[[#This Row],[stock final]]*(VLOOKUP(Table4[[#This Row],[reference]],listeMarchandises[],7,FALSE))</f>
        <v>1063704648.88</v>
      </c>
      <c r="J169" t="str">
        <f>IF(Table4[[#This Row],[valeur]]&lt;=Table4[[#This Row],[seuil d''alerte]],"stock faible","stock normal")</f>
        <v>stock normal</v>
      </c>
    </row>
    <row r="170" spans="1:10" x14ac:dyDescent="0.25">
      <c r="A170" t="s">
        <v>349</v>
      </c>
      <c r="B170" t="str">
        <f>VLOOKUP(Table4[[#This Row],[reference]],listeMarchandises[],2,FALSE)</f>
        <v>Saxophone alto 040</v>
      </c>
      <c r="C170" t="str">
        <f>VLOOKUP(Table4[[#This Row],[reference]],listeMarchandises[],3,FALSE)</f>
        <v>Instrument de musique</v>
      </c>
      <c r="D170">
        <f>VLOOKUP(Table4[[#This Row],[reference]],listeMarchandises[],4,FALSE)</f>
        <v>21</v>
      </c>
      <c r="E170">
        <f>VLOOKUP(Table4[[#This Row],[reference]],listeMarchandises[],6,FALSE)</f>
        <v>105</v>
      </c>
      <c r="F170">
        <f>SUMIF(listeEntrées[Reference],Table4[[#This Row],[reference]],listeEntrées[Quantite])</f>
        <v>21</v>
      </c>
      <c r="G170">
        <f>SUMIF(listeSorties[Reference],Table4[[#This Row],[reference]],listeSorties[Quantite])</f>
        <v>44</v>
      </c>
      <c r="H170">
        <f>Table4[[#This Row],[stock initial]]+Table4[[#This Row],[entrees]]-Table4[[#This Row],[sorties]]</f>
        <v>82</v>
      </c>
      <c r="I170">
        <f>Table4[[#This Row],[stock final]]*(VLOOKUP(Table4[[#This Row],[reference]],listeMarchandises[],7,FALSE))</f>
        <v>109707776.22</v>
      </c>
      <c r="J170" t="str">
        <f>IF(Table4[[#This Row],[valeur]]&lt;=Table4[[#This Row],[seuil d''alerte]],"stock faible","stock normal")</f>
        <v>stock normal</v>
      </c>
    </row>
    <row r="171" spans="1:10" x14ac:dyDescent="0.25">
      <c r="A171" t="s">
        <v>351</v>
      </c>
      <c r="B171" t="str">
        <f>VLOOKUP(Table4[[#This Row],[reference]],listeMarchandises[],2,FALSE)</f>
        <v>Lave-linge 048</v>
      </c>
      <c r="C171" t="str">
        <f>VLOOKUP(Table4[[#This Row],[reference]],listeMarchandises[],3,FALSE)</f>
        <v>Electromenager</v>
      </c>
      <c r="D171">
        <f>VLOOKUP(Table4[[#This Row],[reference]],listeMarchandises[],4,FALSE)</f>
        <v>21</v>
      </c>
      <c r="E171">
        <f>VLOOKUP(Table4[[#This Row],[reference]],listeMarchandises[],6,FALSE)</f>
        <v>161</v>
      </c>
      <c r="F171">
        <f>SUMIF(listeEntrées[Reference],Table4[[#This Row],[reference]],listeEntrées[Quantite])</f>
        <v>130</v>
      </c>
      <c r="G171">
        <f>SUMIF(listeSorties[Reference],Table4[[#This Row],[reference]],listeSorties[Quantite])</f>
        <v>131</v>
      </c>
      <c r="H171">
        <f>Table4[[#This Row],[stock initial]]+Table4[[#This Row],[entrees]]-Table4[[#This Row],[sorties]]</f>
        <v>160</v>
      </c>
      <c r="I171">
        <f>Table4[[#This Row],[stock final]]*(VLOOKUP(Table4[[#This Row],[reference]],listeMarchandises[],7,FALSE))</f>
        <v>68094518.400000006</v>
      </c>
      <c r="J171" t="str">
        <f>IF(Table4[[#This Row],[valeur]]&lt;=Table4[[#This Row],[seuil d''alerte]],"stock faible","stock normal")</f>
        <v>stock normal</v>
      </c>
    </row>
    <row r="172" spans="1:10" x14ac:dyDescent="0.25">
      <c r="A172" t="s">
        <v>353</v>
      </c>
      <c r="B172" t="str">
        <f>VLOOKUP(Table4[[#This Row],[reference]],listeMarchandises[],2,FALSE)</f>
        <v>Micro-ondes 049</v>
      </c>
      <c r="C172" t="str">
        <f>VLOOKUP(Table4[[#This Row],[reference]],listeMarchandises[],3,FALSE)</f>
        <v>Electromenager</v>
      </c>
      <c r="D172">
        <f>VLOOKUP(Table4[[#This Row],[reference]],listeMarchandises[],4,FALSE)</f>
        <v>14</v>
      </c>
      <c r="E172">
        <f>VLOOKUP(Table4[[#This Row],[reference]],listeMarchandises[],6,FALSE)</f>
        <v>328</v>
      </c>
      <c r="F172">
        <f>SUMIF(listeEntrées[Reference],Table4[[#This Row],[reference]],listeEntrées[Quantite])</f>
        <v>174</v>
      </c>
      <c r="G172">
        <f>SUMIF(listeSorties[Reference],Table4[[#This Row],[reference]],listeSorties[Quantite])</f>
        <v>259</v>
      </c>
      <c r="H172">
        <f>Table4[[#This Row],[stock initial]]+Table4[[#This Row],[entrees]]-Table4[[#This Row],[sorties]]</f>
        <v>243</v>
      </c>
      <c r="I172">
        <f>Table4[[#This Row],[stock final]]*(VLOOKUP(Table4[[#This Row],[reference]],listeMarchandises[],7,FALSE))</f>
        <v>194723272.62</v>
      </c>
      <c r="J172" t="str">
        <f>IF(Table4[[#This Row],[valeur]]&lt;=Table4[[#This Row],[seuil d''alerte]],"stock faible","stock normal")</f>
        <v>stock normal</v>
      </c>
    </row>
    <row r="173" spans="1:10" x14ac:dyDescent="0.25">
      <c r="A173" t="s">
        <v>355</v>
      </c>
      <c r="B173" t="str">
        <f>VLOOKUP(Table4[[#This Row],[reference]],listeMarchandises[],2,FALSE)</f>
        <v>Congelateur 050</v>
      </c>
      <c r="C173" t="str">
        <f>VLOOKUP(Table4[[#This Row],[reference]],listeMarchandises[],3,FALSE)</f>
        <v>Electromenager</v>
      </c>
      <c r="D173">
        <f>VLOOKUP(Table4[[#This Row],[reference]],listeMarchandises[],4,FALSE)</f>
        <v>3</v>
      </c>
      <c r="E173">
        <f>VLOOKUP(Table4[[#This Row],[reference]],listeMarchandises[],6,FALSE)</f>
        <v>26</v>
      </c>
      <c r="F173">
        <f>SUMIF(listeEntrées[Reference],Table4[[#This Row],[reference]],listeEntrées[Quantite])</f>
        <v>0</v>
      </c>
      <c r="G173">
        <f>SUMIF(listeSorties[Reference],Table4[[#This Row],[reference]],listeSorties[Quantite])</f>
        <v>4</v>
      </c>
      <c r="H173">
        <f>Table4[[#This Row],[stock initial]]+Table4[[#This Row],[entrees]]-Table4[[#This Row],[sorties]]</f>
        <v>22</v>
      </c>
      <c r="I173">
        <f>Table4[[#This Row],[stock final]]*(VLOOKUP(Table4[[#This Row],[reference]],listeMarchandises[],7,FALSE))</f>
        <v>17005702.559999999</v>
      </c>
      <c r="J173" t="str">
        <f>IF(Table4[[#This Row],[valeur]]&lt;=Table4[[#This Row],[seuil d''alerte]],"stock faible","stock normal")</f>
        <v>stock normal</v>
      </c>
    </row>
    <row r="174" spans="1:10" x14ac:dyDescent="0.25">
      <c r="A174" t="s">
        <v>357</v>
      </c>
      <c r="B174" t="str">
        <f>VLOOKUP(Table4[[#This Row],[reference]],listeMarchandises[],2,FALSE)</f>
        <v>Piano numerique 041</v>
      </c>
      <c r="C174" t="str">
        <f>VLOOKUP(Table4[[#This Row],[reference]],listeMarchandises[],3,FALSE)</f>
        <v>Instrument de musique</v>
      </c>
      <c r="D174">
        <f>VLOOKUP(Table4[[#This Row],[reference]],listeMarchandises[],4,FALSE)</f>
        <v>22</v>
      </c>
      <c r="E174">
        <f>VLOOKUP(Table4[[#This Row],[reference]],listeMarchandises[],6,FALSE)</f>
        <v>294</v>
      </c>
      <c r="F174">
        <f>SUMIF(listeEntrées[Reference],Table4[[#This Row],[reference]],listeEntrées[Quantite])</f>
        <v>0</v>
      </c>
      <c r="G174">
        <f>SUMIF(listeSorties[Reference],Table4[[#This Row],[reference]],listeSorties[Quantite])</f>
        <v>66</v>
      </c>
      <c r="H174">
        <f>Table4[[#This Row],[stock initial]]+Table4[[#This Row],[entrees]]-Table4[[#This Row],[sorties]]</f>
        <v>228</v>
      </c>
      <c r="I174">
        <f>Table4[[#This Row],[stock final]]*(VLOOKUP(Table4[[#This Row],[reference]],listeMarchandises[],7,FALSE))</f>
        <v>102482650.67999999</v>
      </c>
      <c r="J174" t="str">
        <f>IF(Table4[[#This Row],[valeur]]&lt;=Table4[[#This Row],[seuil d''alerte]],"stock faible","stock normal")</f>
        <v>stock normal</v>
      </c>
    </row>
    <row r="175" spans="1:10" x14ac:dyDescent="0.25">
      <c r="A175" t="s">
        <v>359</v>
      </c>
      <c r="B175" t="str">
        <f>VLOOKUP(Table4[[#This Row],[reference]],listeMarchandises[],2,FALSE)</f>
        <v>Smartphone Nova 043</v>
      </c>
      <c r="C175" t="str">
        <f>VLOOKUP(Table4[[#This Row],[reference]],listeMarchandises[],3,FALSE)</f>
        <v>Smartphone</v>
      </c>
      <c r="D175">
        <f>VLOOKUP(Table4[[#This Row],[reference]],listeMarchandises[],4,FALSE)</f>
        <v>18</v>
      </c>
      <c r="E175">
        <f>VLOOKUP(Table4[[#This Row],[reference]],listeMarchandises[],6,FALSE)</f>
        <v>38</v>
      </c>
      <c r="F175">
        <f>SUMIF(listeEntrées[Reference],Table4[[#This Row],[reference]],listeEntrées[Quantite])</f>
        <v>108</v>
      </c>
      <c r="G175">
        <f>SUMIF(listeSorties[Reference],Table4[[#This Row],[reference]],listeSorties[Quantite])</f>
        <v>0</v>
      </c>
      <c r="H175">
        <f>Table4[[#This Row],[stock initial]]+Table4[[#This Row],[entrees]]-Table4[[#This Row],[sorties]]</f>
        <v>146</v>
      </c>
      <c r="I175">
        <f>Table4[[#This Row],[stock final]]*(VLOOKUP(Table4[[#This Row],[reference]],listeMarchandises[],7,FALSE))</f>
        <v>124751558.58</v>
      </c>
      <c r="J175" t="str">
        <f>IF(Table4[[#This Row],[valeur]]&lt;=Table4[[#This Row],[seuil d''alerte]],"stock faible","stock normal")</f>
        <v>stock normal</v>
      </c>
    </row>
    <row r="176" spans="1:10" x14ac:dyDescent="0.25">
      <c r="A176" t="s">
        <v>361</v>
      </c>
      <c r="B176" t="str">
        <f>VLOOKUP(Table4[[#This Row],[reference]],listeMarchandises[],2,FALSE)</f>
        <v>Aspirateur 051</v>
      </c>
      <c r="C176" t="str">
        <f>VLOOKUP(Table4[[#This Row],[reference]],listeMarchandises[],3,FALSE)</f>
        <v>Electromenager</v>
      </c>
      <c r="D176">
        <f>VLOOKUP(Table4[[#This Row],[reference]],listeMarchandises[],4,FALSE)</f>
        <v>15</v>
      </c>
      <c r="E176">
        <f>VLOOKUP(Table4[[#This Row],[reference]],listeMarchandises[],6,FALSE)</f>
        <v>52</v>
      </c>
      <c r="F176">
        <f>SUMIF(listeEntrées[Reference],Table4[[#This Row],[reference]],listeEntrées[Quantite])</f>
        <v>186</v>
      </c>
      <c r="G176">
        <f>SUMIF(listeSorties[Reference],Table4[[#This Row],[reference]],listeSorties[Quantite])</f>
        <v>33</v>
      </c>
      <c r="H176">
        <f>Table4[[#This Row],[stock initial]]+Table4[[#This Row],[entrees]]-Table4[[#This Row],[sorties]]</f>
        <v>205</v>
      </c>
      <c r="I176">
        <f>Table4[[#This Row],[stock final]]*(VLOOKUP(Table4[[#This Row],[reference]],listeMarchandises[],7,FALSE))</f>
        <v>220465208.20000002</v>
      </c>
      <c r="J176" t="str">
        <f>IF(Table4[[#This Row],[valeur]]&lt;=Table4[[#This Row],[seuil d''alerte]],"stock faible","stock normal")</f>
        <v>stock normal</v>
      </c>
    </row>
    <row r="177" spans="1:10" x14ac:dyDescent="0.25">
      <c r="A177" t="s">
        <v>363</v>
      </c>
      <c r="B177" t="str">
        <f>VLOOKUP(Table4[[#This Row],[reference]],listeMarchandises[],2,FALSE)</f>
        <v>Lave-linge 052</v>
      </c>
      <c r="C177" t="str">
        <f>VLOOKUP(Table4[[#This Row],[reference]],listeMarchandises[],3,FALSE)</f>
        <v>Electromenager</v>
      </c>
      <c r="D177">
        <f>VLOOKUP(Table4[[#This Row],[reference]],listeMarchandises[],4,FALSE)</f>
        <v>10</v>
      </c>
      <c r="E177">
        <f>VLOOKUP(Table4[[#This Row],[reference]],listeMarchandises[],6,FALSE)</f>
        <v>89</v>
      </c>
      <c r="F177">
        <f>SUMIF(listeEntrées[Reference],Table4[[#This Row],[reference]],listeEntrées[Quantite])</f>
        <v>93</v>
      </c>
      <c r="G177">
        <f>SUMIF(listeSorties[Reference],Table4[[#This Row],[reference]],listeSorties[Quantite])</f>
        <v>36</v>
      </c>
      <c r="H177">
        <f>Table4[[#This Row],[stock initial]]+Table4[[#This Row],[entrees]]-Table4[[#This Row],[sorties]]</f>
        <v>146</v>
      </c>
      <c r="I177">
        <f>Table4[[#This Row],[stock final]]*(VLOOKUP(Table4[[#This Row],[reference]],listeMarchandises[],7,FALSE))</f>
        <v>54384515.280000001</v>
      </c>
      <c r="J177" t="str">
        <f>IF(Table4[[#This Row],[valeur]]&lt;=Table4[[#This Row],[seuil d''alerte]],"stock faible","stock normal")</f>
        <v>stock normal</v>
      </c>
    </row>
    <row r="178" spans="1:10" x14ac:dyDescent="0.25">
      <c r="A178" t="s">
        <v>365</v>
      </c>
      <c r="B178" t="str">
        <f>VLOOKUP(Table4[[#This Row],[reference]],listeMarchandises[],2,FALSE)</f>
        <v>Smartphone Prime 044</v>
      </c>
      <c r="C178" t="str">
        <f>VLOOKUP(Table4[[#This Row],[reference]],listeMarchandises[],3,FALSE)</f>
        <v>Smartphone</v>
      </c>
      <c r="D178">
        <f>VLOOKUP(Table4[[#This Row],[reference]],listeMarchandises[],4,FALSE)</f>
        <v>24</v>
      </c>
      <c r="E178">
        <f>VLOOKUP(Table4[[#This Row],[reference]],listeMarchandises[],6,FALSE)</f>
        <v>132</v>
      </c>
      <c r="F178">
        <f>SUMIF(listeEntrées[Reference],Table4[[#This Row],[reference]],listeEntrées[Quantite])</f>
        <v>158</v>
      </c>
      <c r="G178">
        <f>SUMIF(listeSorties[Reference],Table4[[#This Row],[reference]],listeSorties[Quantite])</f>
        <v>147</v>
      </c>
      <c r="H178">
        <f>Table4[[#This Row],[stock initial]]+Table4[[#This Row],[entrees]]-Table4[[#This Row],[sorties]]</f>
        <v>143</v>
      </c>
      <c r="I178">
        <f>Table4[[#This Row],[stock final]]*(VLOOKUP(Table4[[#This Row],[reference]],listeMarchandises[],7,FALSE))</f>
        <v>13063836.5</v>
      </c>
      <c r="J178" t="str">
        <f>IF(Table4[[#This Row],[valeur]]&lt;=Table4[[#This Row],[seuil d''alerte]],"stock faible","stock normal")</f>
        <v>stock normal</v>
      </c>
    </row>
    <row r="179" spans="1:10" x14ac:dyDescent="0.25">
      <c r="A179" t="s">
        <v>367</v>
      </c>
      <c r="B179" t="str">
        <f>VLOOKUP(Table4[[#This Row],[reference]],listeMarchandises[],2,FALSE)</f>
        <v>Groupe 8kVA 041</v>
      </c>
      <c r="C179" t="str">
        <f>VLOOKUP(Table4[[#This Row],[reference]],listeMarchandises[],3,FALSE)</f>
        <v>Groupe electrogene</v>
      </c>
      <c r="D179">
        <f>VLOOKUP(Table4[[#This Row],[reference]],listeMarchandises[],4,FALSE)</f>
        <v>18</v>
      </c>
      <c r="E179">
        <f>VLOOKUP(Table4[[#This Row],[reference]],listeMarchandises[],6,FALSE)</f>
        <v>105</v>
      </c>
      <c r="F179">
        <f>SUMIF(listeEntrées[Reference],Table4[[#This Row],[reference]],listeEntrées[Quantite])</f>
        <v>57</v>
      </c>
      <c r="G179">
        <f>SUMIF(listeSorties[Reference],Table4[[#This Row],[reference]],listeSorties[Quantite])</f>
        <v>0</v>
      </c>
      <c r="H179">
        <f>Table4[[#This Row],[stock initial]]+Table4[[#This Row],[entrees]]-Table4[[#This Row],[sorties]]</f>
        <v>162</v>
      </c>
      <c r="I179">
        <f>Table4[[#This Row],[stock final]]*(VLOOKUP(Table4[[#This Row],[reference]],listeMarchandises[],7,FALSE))</f>
        <v>412183455.83999997</v>
      </c>
      <c r="J179" t="str">
        <f>IF(Table4[[#This Row],[valeur]]&lt;=Table4[[#This Row],[seuil d''alerte]],"stock faible","stock normal")</f>
        <v>stock normal</v>
      </c>
    </row>
    <row r="180" spans="1:10" x14ac:dyDescent="0.25">
      <c r="A180" t="s">
        <v>369</v>
      </c>
      <c r="B180" t="str">
        <f>VLOOKUP(Table4[[#This Row],[reference]],listeMarchandises[],2,FALSE)</f>
        <v>Groupe silencieux 6kVA 042</v>
      </c>
      <c r="C180" t="str">
        <f>VLOOKUP(Table4[[#This Row],[reference]],listeMarchandises[],3,FALSE)</f>
        <v>Groupe electrogene</v>
      </c>
      <c r="D180">
        <f>VLOOKUP(Table4[[#This Row],[reference]],listeMarchandises[],4,FALSE)</f>
        <v>23</v>
      </c>
      <c r="E180">
        <f>VLOOKUP(Table4[[#This Row],[reference]],listeMarchandises[],6,FALSE)</f>
        <v>219</v>
      </c>
      <c r="F180">
        <f>SUMIF(listeEntrées[Reference],Table4[[#This Row],[reference]],listeEntrées[Quantite])</f>
        <v>0</v>
      </c>
      <c r="G180">
        <f>SUMIF(listeSorties[Reference],Table4[[#This Row],[reference]],listeSorties[Quantite])</f>
        <v>0</v>
      </c>
      <c r="H180">
        <f>Table4[[#This Row],[stock initial]]+Table4[[#This Row],[entrees]]-Table4[[#This Row],[sorties]]</f>
        <v>219</v>
      </c>
      <c r="I180">
        <f>Table4[[#This Row],[stock final]]*(VLOOKUP(Table4[[#This Row],[reference]],listeMarchandises[],7,FALSE))</f>
        <v>673200165.83999991</v>
      </c>
      <c r="J180" t="str">
        <f>IF(Table4[[#This Row],[valeur]]&lt;=Table4[[#This Row],[seuil d''alerte]],"stock faible","stock normal")</f>
        <v>stock normal</v>
      </c>
    </row>
    <row r="181" spans="1:10" x14ac:dyDescent="0.25">
      <c r="A181" t="s">
        <v>371</v>
      </c>
      <c r="B181" t="str">
        <f>VLOOKUP(Table4[[#This Row],[reference]],listeMarchandises[],2,FALSE)</f>
        <v>Groupe 8kVA 043</v>
      </c>
      <c r="C181" t="str">
        <f>VLOOKUP(Table4[[#This Row],[reference]],listeMarchandises[],3,FALSE)</f>
        <v>Groupe electrogene</v>
      </c>
      <c r="D181">
        <f>VLOOKUP(Table4[[#This Row],[reference]],listeMarchandises[],4,FALSE)</f>
        <v>25</v>
      </c>
      <c r="E181">
        <f>VLOOKUP(Table4[[#This Row],[reference]],listeMarchandises[],6,FALSE)</f>
        <v>68</v>
      </c>
      <c r="F181">
        <f>SUMIF(listeEntrées[Reference],Table4[[#This Row],[reference]],listeEntrées[Quantite])</f>
        <v>42</v>
      </c>
      <c r="G181">
        <f>SUMIF(listeSorties[Reference],Table4[[#This Row],[reference]],listeSorties[Quantite])</f>
        <v>63</v>
      </c>
      <c r="H181">
        <f>Table4[[#This Row],[stock initial]]+Table4[[#This Row],[entrees]]-Table4[[#This Row],[sorties]]</f>
        <v>47</v>
      </c>
      <c r="I181">
        <f>Table4[[#This Row],[stock final]]*(VLOOKUP(Table4[[#This Row],[reference]],listeMarchandises[],7,FALSE))</f>
        <v>176876824.90000001</v>
      </c>
      <c r="J181" t="str">
        <f>IF(Table4[[#This Row],[valeur]]&lt;=Table4[[#This Row],[seuil d''alerte]],"stock faible","stock normal")</f>
        <v>stock normal</v>
      </c>
    </row>
    <row r="182" spans="1:10" x14ac:dyDescent="0.25">
      <c r="A182" t="s">
        <v>373</v>
      </c>
      <c r="B182" t="str">
        <f>VLOOKUP(Table4[[#This Row],[reference]],listeMarchandises[],2,FALSE)</f>
        <v>Smartphone Nova 045</v>
      </c>
      <c r="C182" t="str">
        <f>VLOOKUP(Table4[[#This Row],[reference]],listeMarchandises[],3,FALSE)</f>
        <v>Smartphone</v>
      </c>
      <c r="D182">
        <f>VLOOKUP(Table4[[#This Row],[reference]],listeMarchandises[],4,FALSE)</f>
        <v>12</v>
      </c>
      <c r="E182">
        <f>VLOOKUP(Table4[[#This Row],[reference]],listeMarchandises[],6,FALSE)</f>
        <v>213</v>
      </c>
      <c r="F182">
        <f>SUMIF(listeEntrées[Reference],Table4[[#This Row],[reference]],listeEntrées[Quantite])</f>
        <v>25</v>
      </c>
      <c r="G182">
        <f>SUMIF(listeSorties[Reference],Table4[[#This Row],[reference]],listeSorties[Quantite])</f>
        <v>70</v>
      </c>
      <c r="H182">
        <f>Table4[[#This Row],[stock initial]]+Table4[[#This Row],[entrees]]-Table4[[#This Row],[sorties]]</f>
        <v>168</v>
      </c>
      <c r="I182">
        <f>Table4[[#This Row],[stock final]]*(VLOOKUP(Table4[[#This Row],[reference]],listeMarchandises[],7,FALSE))</f>
        <v>134460298.56</v>
      </c>
      <c r="J182" t="str">
        <f>IF(Table4[[#This Row],[valeur]]&lt;=Table4[[#This Row],[seuil d''alerte]],"stock faible","stock normal")</f>
        <v>stock normal</v>
      </c>
    </row>
    <row r="183" spans="1:10" x14ac:dyDescent="0.25">
      <c r="A183" t="s">
        <v>375</v>
      </c>
      <c r="B183" t="str">
        <f>VLOOKUP(Table4[[#This Row],[reference]],listeMarchandises[],2,FALSE)</f>
        <v>Smartphone Edge 046</v>
      </c>
      <c r="C183" t="str">
        <f>VLOOKUP(Table4[[#This Row],[reference]],listeMarchandises[],3,FALSE)</f>
        <v>Smartphone</v>
      </c>
      <c r="D183">
        <f>VLOOKUP(Table4[[#This Row],[reference]],listeMarchandises[],4,FALSE)</f>
        <v>6</v>
      </c>
      <c r="E183">
        <f>VLOOKUP(Table4[[#This Row],[reference]],listeMarchandises[],6,FALSE)</f>
        <v>145</v>
      </c>
      <c r="F183">
        <f>SUMIF(listeEntrées[Reference],Table4[[#This Row],[reference]],listeEntrées[Quantite])</f>
        <v>98</v>
      </c>
      <c r="G183">
        <f>SUMIF(listeSorties[Reference],Table4[[#This Row],[reference]],listeSorties[Quantite])</f>
        <v>58</v>
      </c>
      <c r="H183">
        <f>Table4[[#This Row],[stock initial]]+Table4[[#This Row],[entrees]]-Table4[[#This Row],[sorties]]</f>
        <v>185</v>
      </c>
      <c r="I183">
        <f>Table4[[#This Row],[stock final]]*(VLOOKUP(Table4[[#This Row],[reference]],listeMarchandises[],7,FALSE))</f>
        <v>234972377.59999999</v>
      </c>
      <c r="J183" t="str">
        <f>IF(Table4[[#This Row],[valeur]]&lt;=Table4[[#This Row],[seuil d''alerte]],"stock faible","stock normal")</f>
        <v>stock normal</v>
      </c>
    </row>
    <row r="184" spans="1:10" x14ac:dyDescent="0.25">
      <c r="A184" t="s">
        <v>377</v>
      </c>
      <c r="B184" t="str">
        <f>VLOOKUP(Table4[[#This Row],[reference]],listeMarchandises[],2,FALSE)</f>
        <v>Groupe 12kVA 044</v>
      </c>
      <c r="C184" t="str">
        <f>VLOOKUP(Table4[[#This Row],[reference]],listeMarchandises[],3,FALSE)</f>
        <v>Groupe electrogene</v>
      </c>
      <c r="D184">
        <f>VLOOKUP(Table4[[#This Row],[reference]],listeMarchandises[],4,FALSE)</f>
        <v>19</v>
      </c>
      <c r="E184">
        <f>VLOOKUP(Table4[[#This Row],[reference]],listeMarchandises[],6,FALSE)</f>
        <v>251</v>
      </c>
      <c r="F184">
        <f>SUMIF(listeEntrées[Reference],Table4[[#This Row],[reference]],listeEntrées[Quantite])</f>
        <v>0</v>
      </c>
      <c r="G184">
        <f>SUMIF(listeSorties[Reference],Table4[[#This Row],[reference]],listeSorties[Quantite])</f>
        <v>112</v>
      </c>
      <c r="H184">
        <f>Table4[[#This Row],[stock initial]]+Table4[[#This Row],[entrees]]-Table4[[#This Row],[sorties]]</f>
        <v>139</v>
      </c>
      <c r="I184">
        <f>Table4[[#This Row],[stock final]]*(VLOOKUP(Table4[[#This Row],[reference]],listeMarchandises[],7,FALSE))</f>
        <v>454619357.53999996</v>
      </c>
      <c r="J184" t="str">
        <f>IF(Table4[[#This Row],[valeur]]&lt;=Table4[[#This Row],[seuil d''alerte]],"stock faible","stock normal")</f>
        <v>stock normal</v>
      </c>
    </row>
    <row r="185" spans="1:10" x14ac:dyDescent="0.25">
      <c r="A185" t="s">
        <v>379</v>
      </c>
      <c r="B185" t="str">
        <f>VLOOKUP(Table4[[#This Row],[reference]],listeMarchandises[],2,FALSE)</f>
        <v>Smartphone Lite 047</v>
      </c>
      <c r="C185" t="str">
        <f>VLOOKUP(Table4[[#This Row],[reference]],listeMarchandises[],3,FALSE)</f>
        <v>Smartphone</v>
      </c>
      <c r="D185">
        <f>VLOOKUP(Table4[[#This Row],[reference]],listeMarchandises[],4,FALSE)</f>
        <v>18</v>
      </c>
      <c r="E185">
        <f>VLOOKUP(Table4[[#This Row],[reference]],listeMarchandises[],6,FALSE)</f>
        <v>139</v>
      </c>
      <c r="F185">
        <f>SUMIF(listeEntrées[Reference],Table4[[#This Row],[reference]],listeEntrées[Quantite])</f>
        <v>29</v>
      </c>
      <c r="G185">
        <f>SUMIF(listeSorties[Reference],Table4[[#This Row],[reference]],listeSorties[Quantite])</f>
        <v>169</v>
      </c>
      <c r="H185">
        <f>Table4[[#This Row],[stock initial]]+Table4[[#This Row],[entrees]]-Table4[[#This Row],[sorties]]</f>
        <v>-1</v>
      </c>
      <c r="I185">
        <f>Table4[[#This Row],[stock final]]*(VLOOKUP(Table4[[#This Row],[reference]],listeMarchandises[],7,FALSE))</f>
        <v>-310390.71000000002</v>
      </c>
      <c r="J185" t="str">
        <f>IF(Table4[[#This Row],[valeur]]&lt;=Table4[[#This Row],[seuil d''alerte]],"stock faible","stock normal")</f>
        <v>stock faible</v>
      </c>
    </row>
    <row r="186" spans="1:10" x14ac:dyDescent="0.25">
      <c r="A186" t="s">
        <v>381</v>
      </c>
      <c r="B186" t="str">
        <f>VLOOKUP(Table4[[#This Row],[reference]],listeMarchandises[],2,FALSE)</f>
        <v>Piano numerique 042</v>
      </c>
      <c r="C186" t="str">
        <f>VLOOKUP(Table4[[#This Row],[reference]],listeMarchandises[],3,FALSE)</f>
        <v>Instrument de musique</v>
      </c>
      <c r="D186">
        <f>VLOOKUP(Table4[[#This Row],[reference]],listeMarchandises[],4,FALSE)</f>
        <v>22</v>
      </c>
      <c r="E186">
        <f>VLOOKUP(Table4[[#This Row],[reference]],listeMarchandises[],6,FALSE)</f>
        <v>45</v>
      </c>
      <c r="F186">
        <f>SUMIF(listeEntrées[Reference],Table4[[#This Row],[reference]],listeEntrées[Quantite])</f>
        <v>23</v>
      </c>
      <c r="G186">
        <f>SUMIF(listeSorties[Reference],Table4[[#This Row],[reference]],listeSorties[Quantite])</f>
        <v>69</v>
      </c>
      <c r="H186">
        <f>Table4[[#This Row],[stock initial]]+Table4[[#This Row],[entrees]]-Table4[[#This Row],[sorties]]</f>
        <v>-1</v>
      </c>
      <c r="I186">
        <f>Table4[[#This Row],[stock final]]*(VLOOKUP(Table4[[#This Row],[reference]],listeMarchandises[],7,FALSE))</f>
        <v>-1095106.47</v>
      </c>
      <c r="J186" t="str">
        <f>IF(Table4[[#This Row],[valeur]]&lt;=Table4[[#This Row],[seuil d''alerte]],"stock faible","stock normal")</f>
        <v>stock faible</v>
      </c>
    </row>
    <row r="187" spans="1:10" x14ac:dyDescent="0.25">
      <c r="A187" t="s">
        <v>383</v>
      </c>
      <c r="B187" t="str">
        <f>VLOOKUP(Table4[[#This Row],[reference]],listeMarchandises[],2,FALSE)</f>
        <v>Smartphone Alpha 048</v>
      </c>
      <c r="C187" t="str">
        <f>VLOOKUP(Table4[[#This Row],[reference]],listeMarchandises[],3,FALSE)</f>
        <v>Smartphone</v>
      </c>
      <c r="D187">
        <f>VLOOKUP(Table4[[#This Row],[reference]],listeMarchandises[],4,FALSE)</f>
        <v>20</v>
      </c>
      <c r="E187">
        <f>VLOOKUP(Table4[[#This Row],[reference]],listeMarchandises[],6,FALSE)</f>
        <v>218</v>
      </c>
      <c r="F187">
        <f>SUMIF(listeEntrées[Reference],Table4[[#This Row],[reference]],listeEntrées[Quantite])</f>
        <v>87</v>
      </c>
      <c r="G187">
        <f>SUMIF(listeSorties[Reference],Table4[[#This Row],[reference]],listeSorties[Quantite])</f>
        <v>28</v>
      </c>
      <c r="H187">
        <f>Table4[[#This Row],[stock initial]]+Table4[[#This Row],[entrees]]-Table4[[#This Row],[sorties]]</f>
        <v>277</v>
      </c>
      <c r="I187">
        <f>Table4[[#This Row],[stock final]]*(VLOOKUP(Table4[[#This Row],[reference]],listeMarchandises[],7,FALSE))</f>
        <v>258680976.17999998</v>
      </c>
      <c r="J187" t="str">
        <f>IF(Table4[[#This Row],[valeur]]&lt;=Table4[[#This Row],[seuil d''alerte]],"stock faible","stock normal")</f>
        <v>stock normal</v>
      </c>
    </row>
    <row r="188" spans="1:10" x14ac:dyDescent="0.25">
      <c r="A188" t="s">
        <v>385</v>
      </c>
      <c r="B188" t="str">
        <f>VLOOKUP(Table4[[#This Row],[reference]],listeMarchandises[],2,FALSE)</f>
        <v>Smartphone Ultra 049</v>
      </c>
      <c r="C188" t="str">
        <f>VLOOKUP(Table4[[#This Row],[reference]],listeMarchandises[],3,FALSE)</f>
        <v>Smartphone</v>
      </c>
      <c r="D188">
        <f>VLOOKUP(Table4[[#This Row],[reference]],listeMarchandises[],4,FALSE)</f>
        <v>8</v>
      </c>
      <c r="E188">
        <f>VLOOKUP(Table4[[#This Row],[reference]],listeMarchandises[],6,FALSE)</f>
        <v>43</v>
      </c>
      <c r="F188">
        <f>SUMIF(listeEntrées[Reference],Table4[[#This Row],[reference]],listeEntrées[Quantite])</f>
        <v>32</v>
      </c>
      <c r="G188">
        <f>SUMIF(listeSorties[Reference],Table4[[#This Row],[reference]],listeSorties[Quantite])</f>
        <v>4</v>
      </c>
      <c r="H188">
        <f>Table4[[#This Row],[stock initial]]+Table4[[#This Row],[entrees]]-Table4[[#This Row],[sorties]]</f>
        <v>71</v>
      </c>
      <c r="I188">
        <f>Table4[[#This Row],[stock final]]*(VLOOKUP(Table4[[#This Row],[reference]],listeMarchandises[],7,FALSE))</f>
        <v>65722216.420000002</v>
      </c>
      <c r="J188" t="str">
        <f>IF(Table4[[#This Row],[valeur]]&lt;=Table4[[#This Row],[seuil d''alerte]],"stock faible","stock normal")</f>
        <v>stock normal</v>
      </c>
    </row>
    <row r="189" spans="1:10" x14ac:dyDescent="0.25">
      <c r="A189" t="s">
        <v>387</v>
      </c>
      <c r="B189" t="str">
        <f>VLOOKUP(Table4[[#This Row],[reference]],listeMarchandises[],2,FALSE)</f>
        <v>Saxophone alto 043</v>
      </c>
      <c r="C189" t="str">
        <f>VLOOKUP(Table4[[#This Row],[reference]],listeMarchandises[],3,FALSE)</f>
        <v>Instrument de musique</v>
      </c>
      <c r="D189">
        <f>VLOOKUP(Table4[[#This Row],[reference]],listeMarchandises[],4,FALSE)</f>
        <v>8</v>
      </c>
      <c r="E189">
        <f>VLOOKUP(Table4[[#This Row],[reference]],listeMarchandises[],6,FALSE)</f>
        <v>308</v>
      </c>
      <c r="F189">
        <f>SUMIF(listeEntrées[Reference],Table4[[#This Row],[reference]],listeEntrées[Quantite])</f>
        <v>175</v>
      </c>
      <c r="G189">
        <f>SUMIF(listeSorties[Reference],Table4[[#This Row],[reference]],listeSorties[Quantite])</f>
        <v>80</v>
      </c>
      <c r="H189">
        <f>Table4[[#This Row],[stock initial]]+Table4[[#This Row],[entrees]]-Table4[[#This Row],[sorties]]</f>
        <v>403</v>
      </c>
      <c r="I189">
        <f>Table4[[#This Row],[stock final]]*(VLOOKUP(Table4[[#This Row],[reference]],listeMarchandises[],7,FALSE))</f>
        <v>32585685.34</v>
      </c>
      <c r="J189" t="str">
        <f>IF(Table4[[#This Row],[valeur]]&lt;=Table4[[#This Row],[seuil d''alerte]],"stock faible","stock normal")</f>
        <v>stock normal</v>
      </c>
    </row>
    <row r="190" spans="1:10" x14ac:dyDescent="0.25">
      <c r="A190" t="s">
        <v>389</v>
      </c>
      <c r="B190" t="str">
        <f>VLOOKUP(Table4[[#This Row],[reference]],listeMarchandises[],2,FALSE)</f>
        <v>Smartphone Lite 050</v>
      </c>
      <c r="C190" t="str">
        <f>VLOOKUP(Table4[[#This Row],[reference]],listeMarchandises[],3,FALSE)</f>
        <v>Smartphone</v>
      </c>
      <c r="D190">
        <f>VLOOKUP(Table4[[#This Row],[reference]],listeMarchandises[],4,FALSE)</f>
        <v>14</v>
      </c>
      <c r="E190">
        <f>VLOOKUP(Table4[[#This Row],[reference]],listeMarchandises[],6,FALSE)</f>
        <v>29</v>
      </c>
      <c r="F190">
        <f>SUMIF(listeEntrées[Reference],Table4[[#This Row],[reference]],listeEntrées[Quantite])</f>
        <v>262</v>
      </c>
      <c r="G190">
        <f>SUMIF(listeSorties[Reference],Table4[[#This Row],[reference]],listeSorties[Quantite])</f>
        <v>0</v>
      </c>
      <c r="H190">
        <f>Table4[[#This Row],[stock initial]]+Table4[[#This Row],[entrees]]-Table4[[#This Row],[sorties]]</f>
        <v>291</v>
      </c>
      <c r="I190">
        <f>Table4[[#This Row],[stock final]]*(VLOOKUP(Table4[[#This Row],[reference]],listeMarchandises[],7,FALSE))</f>
        <v>36544495.859999999</v>
      </c>
      <c r="J190" t="str">
        <f>IF(Table4[[#This Row],[valeur]]&lt;=Table4[[#This Row],[seuil d''alerte]],"stock faible","stock normal")</f>
        <v>stock normal</v>
      </c>
    </row>
    <row r="191" spans="1:10" x14ac:dyDescent="0.25">
      <c r="A191" t="s">
        <v>391</v>
      </c>
      <c r="B191" t="str">
        <f>VLOOKUP(Table4[[#This Row],[reference]],listeMarchandises[],2,FALSE)</f>
        <v>Smartphone Lite 051</v>
      </c>
      <c r="C191" t="str">
        <f>VLOOKUP(Table4[[#This Row],[reference]],listeMarchandises[],3,FALSE)</f>
        <v>Smartphone</v>
      </c>
      <c r="D191">
        <f>VLOOKUP(Table4[[#This Row],[reference]],listeMarchandises[],4,FALSE)</f>
        <v>21</v>
      </c>
      <c r="E191">
        <f>VLOOKUP(Table4[[#This Row],[reference]],listeMarchandises[],6,FALSE)</f>
        <v>350</v>
      </c>
      <c r="F191">
        <f>SUMIF(listeEntrées[Reference],Table4[[#This Row],[reference]],listeEntrées[Quantite])</f>
        <v>208</v>
      </c>
      <c r="G191">
        <f>SUMIF(listeSorties[Reference],Table4[[#This Row],[reference]],listeSorties[Quantite])</f>
        <v>0</v>
      </c>
      <c r="H191">
        <f>Table4[[#This Row],[stock initial]]+Table4[[#This Row],[entrees]]-Table4[[#This Row],[sorties]]</f>
        <v>558</v>
      </c>
      <c r="I191">
        <f>Table4[[#This Row],[stock final]]*(VLOOKUP(Table4[[#This Row],[reference]],listeMarchandises[],7,FALSE))</f>
        <v>423339952.5</v>
      </c>
      <c r="J191" t="str">
        <f>IF(Table4[[#This Row],[valeur]]&lt;=Table4[[#This Row],[seuil d''alerte]],"stock faible","stock normal")</f>
        <v>stock normal</v>
      </c>
    </row>
    <row r="192" spans="1:10" x14ac:dyDescent="0.25">
      <c r="A192" t="s">
        <v>393</v>
      </c>
      <c r="B192" t="str">
        <f>VLOOKUP(Table4[[#This Row],[reference]],listeMarchandises[],2,FALSE)</f>
        <v>Groupe silencieux 6kVA 045</v>
      </c>
      <c r="C192" t="str">
        <f>VLOOKUP(Table4[[#This Row],[reference]],listeMarchandises[],3,FALSE)</f>
        <v>Groupe electrogene</v>
      </c>
      <c r="D192">
        <f>VLOOKUP(Table4[[#This Row],[reference]],listeMarchandises[],4,FALSE)</f>
        <v>12</v>
      </c>
      <c r="E192">
        <f>VLOOKUP(Table4[[#This Row],[reference]],listeMarchandises[],6,FALSE)</f>
        <v>53</v>
      </c>
      <c r="F192">
        <f>SUMIF(listeEntrées[Reference],Table4[[#This Row],[reference]],listeEntrées[Quantite])</f>
        <v>43</v>
      </c>
      <c r="G192">
        <f>SUMIF(listeSorties[Reference],Table4[[#This Row],[reference]],listeSorties[Quantite])</f>
        <v>224</v>
      </c>
      <c r="H192">
        <f>Table4[[#This Row],[stock initial]]+Table4[[#This Row],[entrees]]-Table4[[#This Row],[sorties]]</f>
        <v>-128</v>
      </c>
      <c r="I192">
        <f>Table4[[#This Row],[stock final]]*(VLOOKUP(Table4[[#This Row],[reference]],listeMarchandises[],7,FALSE))</f>
        <v>-140012227.84</v>
      </c>
      <c r="J192" t="str">
        <f>IF(Table4[[#This Row],[valeur]]&lt;=Table4[[#This Row],[seuil d''alerte]],"stock faible","stock normal")</f>
        <v>stock faible</v>
      </c>
    </row>
    <row r="193" spans="1:10" x14ac:dyDescent="0.25">
      <c r="A193" t="s">
        <v>395</v>
      </c>
      <c r="B193" t="str">
        <f>VLOOKUP(Table4[[#This Row],[reference]],listeMarchandises[],2,FALSE)</f>
        <v>Fer a repasser 053</v>
      </c>
      <c r="C193" t="str">
        <f>VLOOKUP(Table4[[#This Row],[reference]],listeMarchandises[],3,FALSE)</f>
        <v>Electromenager</v>
      </c>
      <c r="D193">
        <f>VLOOKUP(Table4[[#This Row],[reference]],listeMarchandises[],4,FALSE)</f>
        <v>21</v>
      </c>
      <c r="E193">
        <f>VLOOKUP(Table4[[#This Row],[reference]],listeMarchandises[],6,FALSE)</f>
        <v>269</v>
      </c>
      <c r="F193">
        <f>SUMIF(listeEntrées[Reference],Table4[[#This Row],[reference]],listeEntrées[Quantite])</f>
        <v>175</v>
      </c>
      <c r="G193">
        <f>SUMIF(listeSorties[Reference],Table4[[#This Row],[reference]],listeSorties[Quantite])</f>
        <v>103</v>
      </c>
      <c r="H193">
        <f>Table4[[#This Row],[stock initial]]+Table4[[#This Row],[entrees]]-Table4[[#This Row],[sorties]]</f>
        <v>341</v>
      </c>
      <c r="I193">
        <f>Table4[[#This Row],[stock final]]*(VLOOKUP(Table4[[#This Row],[reference]],listeMarchandises[],7,FALSE))</f>
        <v>66552352.789999999</v>
      </c>
      <c r="J193" t="str">
        <f>IF(Table4[[#This Row],[valeur]]&lt;=Table4[[#This Row],[seuil d''alerte]],"stock faible","stock normal")</f>
        <v>stock normal</v>
      </c>
    </row>
    <row r="194" spans="1:10" x14ac:dyDescent="0.25">
      <c r="A194" t="s">
        <v>397</v>
      </c>
      <c r="B194" t="str">
        <f>VLOOKUP(Table4[[#This Row],[reference]],listeMarchandises[],2,FALSE)</f>
        <v>Groupe 5kVA 046</v>
      </c>
      <c r="C194" t="str">
        <f>VLOOKUP(Table4[[#This Row],[reference]],listeMarchandises[],3,FALSE)</f>
        <v>Groupe electrogene</v>
      </c>
      <c r="D194">
        <f>VLOOKUP(Table4[[#This Row],[reference]],listeMarchandises[],4,FALSE)</f>
        <v>22</v>
      </c>
      <c r="E194">
        <f>VLOOKUP(Table4[[#This Row],[reference]],listeMarchandises[],6,FALSE)</f>
        <v>164</v>
      </c>
      <c r="F194">
        <f>SUMIF(listeEntrées[Reference],Table4[[#This Row],[reference]],listeEntrées[Quantite])</f>
        <v>108</v>
      </c>
      <c r="G194">
        <f>SUMIF(listeSorties[Reference],Table4[[#This Row],[reference]],listeSorties[Quantite])</f>
        <v>93</v>
      </c>
      <c r="H194">
        <f>Table4[[#This Row],[stock initial]]+Table4[[#This Row],[entrees]]-Table4[[#This Row],[sorties]]</f>
        <v>179</v>
      </c>
      <c r="I194">
        <f>Table4[[#This Row],[stock final]]*(VLOOKUP(Table4[[#This Row],[reference]],listeMarchandises[],7,FALSE))</f>
        <v>170301017.06999999</v>
      </c>
      <c r="J194" t="str">
        <f>IF(Table4[[#This Row],[valeur]]&lt;=Table4[[#This Row],[seuil d''alerte]],"stock faible","stock normal")</f>
        <v>stock normal</v>
      </c>
    </row>
    <row r="195" spans="1:10" x14ac:dyDescent="0.25">
      <c r="A195" t="s">
        <v>399</v>
      </c>
      <c r="B195" t="str">
        <f>VLOOKUP(Table4[[#This Row],[reference]],listeMarchandises[],2,FALSE)</f>
        <v>Guitare acoustique 044</v>
      </c>
      <c r="C195" t="str">
        <f>VLOOKUP(Table4[[#This Row],[reference]],listeMarchandises[],3,FALSE)</f>
        <v>Instrument de musique</v>
      </c>
      <c r="D195">
        <f>VLOOKUP(Table4[[#This Row],[reference]],listeMarchandises[],4,FALSE)</f>
        <v>8</v>
      </c>
      <c r="E195">
        <f>VLOOKUP(Table4[[#This Row],[reference]],listeMarchandises[],6,FALSE)</f>
        <v>235</v>
      </c>
      <c r="F195">
        <f>SUMIF(listeEntrées[Reference],Table4[[#This Row],[reference]],listeEntrées[Quantite])</f>
        <v>174</v>
      </c>
      <c r="G195">
        <f>SUMIF(listeSorties[Reference],Table4[[#This Row],[reference]],listeSorties[Quantite])</f>
        <v>70</v>
      </c>
      <c r="H195">
        <f>Table4[[#This Row],[stock initial]]+Table4[[#This Row],[entrees]]-Table4[[#This Row],[sorties]]</f>
        <v>339</v>
      </c>
      <c r="I195">
        <f>Table4[[#This Row],[stock final]]*(VLOOKUP(Table4[[#This Row],[reference]],listeMarchandises[],7,FALSE))</f>
        <v>284682911.39999998</v>
      </c>
      <c r="J195" t="str">
        <f>IF(Table4[[#This Row],[valeur]]&lt;=Table4[[#This Row],[seuil d''alerte]],"stock faible","stock normal")</f>
        <v>stock normal</v>
      </c>
    </row>
    <row r="196" spans="1:10" x14ac:dyDescent="0.25">
      <c r="A196" t="s">
        <v>401</v>
      </c>
      <c r="B196" t="str">
        <f>VLOOKUP(Table4[[#This Row],[reference]],listeMarchandises[],2,FALSE)</f>
        <v>Piano numerique 045</v>
      </c>
      <c r="C196" t="str">
        <f>VLOOKUP(Table4[[#This Row],[reference]],listeMarchandises[],3,FALSE)</f>
        <v>Instrument de musique</v>
      </c>
      <c r="D196">
        <f>VLOOKUP(Table4[[#This Row],[reference]],listeMarchandises[],4,FALSE)</f>
        <v>17</v>
      </c>
      <c r="E196">
        <f>VLOOKUP(Table4[[#This Row],[reference]],listeMarchandises[],6,FALSE)</f>
        <v>283</v>
      </c>
      <c r="F196">
        <f>SUMIF(listeEntrées[Reference],Table4[[#This Row],[reference]],listeEntrées[Quantite])</f>
        <v>70</v>
      </c>
      <c r="G196">
        <f>SUMIF(listeSorties[Reference],Table4[[#This Row],[reference]],listeSorties[Quantite])</f>
        <v>15</v>
      </c>
      <c r="H196">
        <f>Table4[[#This Row],[stock initial]]+Table4[[#This Row],[entrees]]-Table4[[#This Row],[sorties]]</f>
        <v>338</v>
      </c>
      <c r="I196">
        <f>Table4[[#This Row],[stock final]]*(VLOOKUP(Table4[[#This Row],[reference]],listeMarchandises[],7,FALSE))</f>
        <v>405754367.97999996</v>
      </c>
      <c r="J196" t="str">
        <f>IF(Table4[[#This Row],[valeur]]&lt;=Table4[[#This Row],[seuil d''alerte]],"stock faible","stock normal")</f>
        <v>stock normal</v>
      </c>
    </row>
    <row r="197" spans="1:10" x14ac:dyDescent="0.25">
      <c r="A197" t="s">
        <v>403</v>
      </c>
      <c r="B197" t="str">
        <f>VLOOKUP(Table4[[#This Row],[reference]],listeMarchandises[],2,FALSE)</f>
        <v>Saxophone alto 046</v>
      </c>
      <c r="C197" t="str">
        <f>VLOOKUP(Table4[[#This Row],[reference]],listeMarchandises[],3,FALSE)</f>
        <v>Instrument de musique</v>
      </c>
      <c r="D197">
        <f>VLOOKUP(Table4[[#This Row],[reference]],listeMarchandises[],4,FALSE)</f>
        <v>18</v>
      </c>
      <c r="E197">
        <f>VLOOKUP(Table4[[#This Row],[reference]],listeMarchandises[],6,FALSE)</f>
        <v>210</v>
      </c>
      <c r="F197">
        <f>SUMIF(listeEntrées[Reference],Table4[[#This Row],[reference]],listeEntrées[Quantite])</f>
        <v>318</v>
      </c>
      <c r="G197">
        <f>SUMIF(listeSorties[Reference],Table4[[#This Row],[reference]],listeSorties[Quantite])</f>
        <v>94</v>
      </c>
      <c r="H197">
        <f>Table4[[#This Row],[stock initial]]+Table4[[#This Row],[entrees]]-Table4[[#This Row],[sorties]]</f>
        <v>434</v>
      </c>
      <c r="I197">
        <f>Table4[[#This Row],[stock final]]*(VLOOKUP(Table4[[#This Row],[reference]],listeMarchandises[],7,FALSE))</f>
        <v>455593943.41999996</v>
      </c>
      <c r="J197" t="str">
        <f>IF(Table4[[#This Row],[valeur]]&lt;=Table4[[#This Row],[seuil d''alerte]],"stock faible","stock normal")</f>
        <v>stock normal</v>
      </c>
    </row>
    <row r="198" spans="1:10" x14ac:dyDescent="0.25">
      <c r="A198" t="s">
        <v>405</v>
      </c>
      <c r="B198" t="str">
        <f>VLOOKUP(Table4[[#This Row],[reference]],listeMarchandises[],2,FALSE)</f>
        <v>Saxophone alto 047</v>
      </c>
      <c r="C198" t="str">
        <f>VLOOKUP(Table4[[#This Row],[reference]],listeMarchandises[],3,FALSE)</f>
        <v>Instrument de musique</v>
      </c>
      <c r="D198">
        <f>VLOOKUP(Table4[[#This Row],[reference]],listeMarchandises[],4,FALSE)</f>
        <v>10</v>
      </c>
      <c r="E198">
        <f>VLOOKUP(Table4[[#This Row],[reference]],listeMarchandises[],6,FALSE)</f>
        <v>340</v>
      </c>
      <c r="F198">
        <f>SUMIF(listeEntrées[Reference],Table4[[#This Row],[reference]],listeEntrées[Quantite])</f>
        <v>41</v>
      </c>
      <c r="G198">
        <f>SUMIF(listeSorties[Reference],Table4[[#This Row],[reference]],listeSorties[Quantite])</f>
        <v>14</v>
      </c>
      <c r="H198">
        <f>Table4[[#This Row],[stock initial]]+Table4[[#This Row],[entrees]]-Table4[[#This Row],[sorties]]</f>
        <v>367</v>
      </c>
      <c r="I198">
        <f>Table4[[#This Row],[stock final]]*(VLOOKUP(Table4[[#This Row],[reference]],listeMarchandises[],7,FALSE))</f>
        <v>606668891.25</v>
      </c>
      <c r="J198" t="str">
        <f>IF(Table4[[#This Row],[valeur]]&lt;=Table4[[#This Row],[seuil d''alerte]],"stock faible","stock normal")</f>
        <v>stock normal</v>
      </c>
    </row>
    <row r="199" spans="1:10" x14ac:dyDescent="0.25">
      <c r="A199" t="s">
        <v>407</v>
      </c>
      <c r="B199" t="str">
        <f>VLOOKUP(Table4[[#This Row],[reference]],listeMarchandises[],2,FALSE)</f>
        <v>Saxophone alto 048</v>
      </c>
      <c r="C199" t="str">
        <f>VLOOKUP(Table4[[#This Row],[reference]],listeMarchandises[],3,FALSE)</f>
        <v>Instrument de musique</v>
      </c>
      <c r="D199">
        <f>VLOOKUP(Table4[[#This Row],[reference]],listeMarchandises[],4,FALSE)</f>
        <v>18</v>
      </c>
      <c r="E199">
        <f>VLOOKUP(Table4[[#This Row],[reference]],listeMarchandises[],6,FALSE)</f>
        <v>368</v>
      </c>
      <c r="F199">
        <f>SUMIF(listeEntrées[Reference],Table4[[#This Row],[reference]],listeEntrées[Quantite])</f>
        <v>22</v>
      </c>
      <c r="G199">
        <f>SUMIF(listeSorties[Reference],Table4[[#This Row],[reference]],listeSorties[Quantite])</f>
        <v>84</v>
      </c>
      <c r="H199">
        <f>Table4[[#This Row],[stock initial]]+Table4[[#This Row],[entrees]]-Table4[[#This Row],[sorties]]</f>
        <v>306</v>
      </c>
      <c r="I199">
        <f>Table4[[#This Row],[stock final]]*(VLOOKUP(Table4[[#This Row],[reference]],listeMarchandises[],7,FALSE))</f>
        <v>335589820.56</v>
      </c>
      <c r="J199" t="str">
        <f>IF(Table4[[#This Row],[valeur]]&lt;=Table4[[#This Row],[seuil d''alerte]],"stock faible","stock normal")</f>
        <v>stock normal</v>
      </c>
    </row>
    <row r="200" spans="1:10" x14ac:dyDescent="0.25">
      <c r="A200" t="s">
        <v>409</v>
      </c>
      <c r="B200" t="str">
        <f>VLOOKUP(Table4[[#This Row],[reference]],listeMarchandises[],2,FALSE)</f>
        <v>Smartphone Ultra 052</v>
      </c>
      <c r="C200" t="str">
        <f>VLOOKUP(Table4[[#This Row],[reference]],listeMarchandises[],3,FALSE)</f>
        <v>Smartphone</v>
      </c>
      <c r="D200">
        <f>VLOOKUP(Table4[[#This Row],[reference]],listeMarchandises[],4,FALSE)</f>
        <v>7</v>
      </c>
      <c r="E200">
        <f>VLOOKUP(Table4[[#This Row],[reference]],listeMarchandises[],6,FALSE)</f>
        <v>330</v>
      </c>
      <c r="F200">
        <f>SUMIF(listeEntrées[Reference],Table4[[#This Row],[reference]],listeEntrées[Quantite])</f>
        <v>103</v>
      </c>
      <c r="G200">
        <f>SUMIF(listeSorties[Reference],Table4[[#This Row],[reference]],listeSorties[Quantite])</f>
        <v>22</v>
      </c>
      <c r="H200">
        <f>Table4[[#This Row],[stock initial]]+Table4[[#This Row],[entrees]]-Table4[[#This Row],[sorties]]</f>
        <v>411</v>
      </c>
      <c r="I200">
        <f>Table4[[#This Row],[stock final]]*(VLOOKUP(Table4[[#This Row],[reference]],listeMarchandises[],7,FALSE))</f>
        <v>533111803.11000001</v>
      </c>
      <c r="J200" t="str">
        <f>IF(Table4[[#This Row],[valeur]]&lt;=Table4[[#This Row],[seuil d''alerte]],"stock faible","stock normal")</f>
        <v>stock normal</v>
      </c>
    </row>
    <row r="201" spans="1:10" x14ac:dyDescent="0.25">
      <c r="A201" t="s">
        <v>411</v>
      </c>
      <c r="B201" t="str">
        <f>VLOOKUP(Table4[[#This Row],[reference]],listeMarchandises[],2,FALSE)</f>
        <v>Micro-ondes 054</v>
      </c>
      <c r="C201" t="str">
        <f>VLOOKUP(Table4[[#This Row],[reference]],listeMarchandises[],3,FALSE)</f>
        <v>Electromenager</v>
      </c>
      <c r="D201">
        <f>VLOOKUP(Table4[[#This Row],[reference]],listeMarchandises[],4,FALSE)</f>
        <v>19</v>
      </c>
      <c r="E201">
        <f>VLOOKUP(Table4[[#This Row],[reference]],listeMarchandises[],6,FALSE)</f>
        <v>279</v>
      </c>
      <c r="F201">
        <f>SUMIF(listeEntrées[Reference],Table4[[#This Row],[reference]],listeEntrées[Quantite])</f>
        <v>174</v>
      </c>
      <c r="G201">
        <f>SUMIF(listeSorties[Reference],Table4[[#This Row],[reference]],listeSorties[Quantite])</f>
        <v>83</v>
      </c>
      <c r="H201">
        <f>Table4[[#This Row],[stock initial]]+Table4[[#This Row],[entrees]]-Table4[[#This Row],[sorties]]</f>
        <v>370</v>
      </c>
      <c r="I201">
        <f>Table4[[#This Row],[stock final]]*(VLOOKUP(Table4[[#This Row],[reference]],listeMarchandises[],7,FALSE))</f>
        <v>265031828.79999998</v>
      </c>
      <c r="J201" t="str">
        <f>IF(Table4[[#This Row],[valeur]]&lt;=Table4[[#This Row],[seuil d''alerte]],"stock faible","stock normal")</f>
        <v>stock normal</v>
      </c>
    </row>
    <row r="202" spans="1:10" x14ac:dyDescent="0.25">
      <c r="A202" t="s">
        <v>413</v>
      </c>
      <c r="B202" t="str">
        <f>VLOOKUP(Table4[[#This Row],[reference]],listeMarchandises[],2,FALSE)</f>
        <v>Lave-linge 055</v>
      </c>
      <c r="C202" t="str">
        <f>VLOOKUP(Table4[[#This Row],[reference]],listeMarchandises[],3,FALSE)</f>
        <v>Electromenager</v>
      </c>
      <c r="D202">
        <f>VLOOKUP(Table4[[#This Row],[reference]],listeMarchandises[],4,FALSE)</f>
        <v>11</v>
      </c>
      <c r="E202">
        <f>VLOOKUP(Table4[[#This Row],[reference]],listeMarchandises[],6,FALSE)</f>
        <v>326</v>
      </c>
      <c r="F202">
        <f>SUMIF(listeEntrées[Reference],Table4[[#This Row],[reference]],listeEntrées[Quantite])</f>
        <v>88</v>
      </c>
      <c r="G202">
        <f>SUMIF(listeSorties[Reference],Table4[[#This Row],[reference]],listeSorties[Quantite])</f>
        <v>89</v>
      </c>
      <c r="H202">
        <f>Table4[[#This Row],[stock initial]]+Table4[[#This Row],[entrees]]-Table4[[#This Row],[sorties]]</f>
        <v>325</v>
      </c>
      <c r="I202">
        <f>Table4[[#This Row],[stock final]]*(VLOOKUP(Table4[[#This Row],[reference]],listeMarchandises[],7,FALSE))</f>
        <v>307559180.5</v>
      </c>
      <c r="J202" t="str">
        <f>IF(Table4[[#This Row],[valeur]]&lt;=Table4[[#This Row],[seuil d''alerte]],"stock faible","stock normal")</f>
        <v>stock normal</v>
      </c>
    </row>
    <row r="203" spans="1:10" x14ac:dyDescent="0.25">
      <c r="A203" t="s">
        <v>415</v>
      </c>
      <c r="B203" t="str">
        <f>VLOOKUP(Table4[[#This Row],[reference]],listeMarchandises[],2,FALSE)</f>
        <v>Saxophone alto 049</v>
      </c>
      <c r="C203" t="str">
        <f>VLOOKUP(Table4[[#This Row],[reference]],listeMarchandises[],3,FALSE)</f>
        <v>Instrument de musique</v>
      </c>
      <c r="D203">
        <f>VLOOKUP(Table4[[#This Row],[reference]],listeMarchandises[],4,FALSE)</f>
        <v>20</v>
      </c>
      <c r="E203">
        <f>VLOOKUP(Table4[[#This Row],[reference]],listeMarchandises[],6,FALSE)</f>
        <v>258</v>
      </c>
      <c r="F203">
        <f>SUMIF(listeEntrées[Reference],Table4[[#This Row],[reference]],listeEntrées[Quantite])</f>
        <v>184</v>
      </c>
      <c r="G203">
        <f>SUMIF(listeSorties[Reference],Table4[[#This Row],[reference]],listeSorties[Quantite])</f>
        <v>0</v>
      </c>
      <c r="H203">
        <f>Table4[[#This Row],[stock initial]]+Table4[[#This Row],[entrees]]-Table4[[#This Row],[sorties]]</f>
        <v>442</v>
      </c>
      <c r="I203">
        <f>Table4[[#This Row],[stock final]]*(VLOOKUP(Table4[[#This Row],[reference]],listeMarchandises[],7,FALSE))</f>
        <v>330452247.84000003</v>
      </c>
      <c r="J203" t="str">
        <f>IF(Table4[[#This Row],[valeur]]&lt;=Table4[[#This Row],[seuil d''alerte]],"stock faible","stock normal")</f>
        <v>stock normal</v>
      </c>
    </row>
    <row r="204" spans="1:10" x14ac:dyDescent="0.25">
      <c r="A204" t="s">
        <v>417</v>
      </c>
      <c r="B204" t="str">
        <f>VLOOKUP(Table4[[#This Row],[reference]],listeMarchandises[],2,FALSE)</f>
        <v>Smartphone Edge 053</v>
      </c>
      <c r="C204" t="str">
        <f>VLOOKUP(Table4[[#This Row],[reference]],listeMarchandises[],3,FALSE)</f>
        <v>Smartphone</v>
      </c>
      <c r="D204">
        <f>VLOOKUP(Table4[[#This Row],[reference]],listeMarchandises[],4,FALSE)</f>
        <v>18</v>
      </c>
      <c r="E204">
        <f>VLOOKUP(Table4[[#This Row],[reference]],listeMarchandises[],6,FALSE)</f>
        <v>248</v>
      </c>
      <c r="F204">
        <f>SUMIF(listeEntrées[Reference],Table4[[#This Row],[reference]],listeEntrées[Quantite])</f>
        <v>0</v>
      </c>
      <c r="G204">
        <f>SUMIF(listeSorties[Reference],Table4[[#This Row],[reference]],listeSorties[Quantite])</f>
        <v>43</v>
      </c>
      <c r="H204">
        <f>Table4[[#This Row],[stock initial]]+Table4[[#This Row],[entrees]]-Table4[[#This Row],[sorties]]</f>
        <v>205</v>
      </c>
      <c r="I204">
        <f>Table4[[#This Row],[stock final]]*(VLOOKUP(Table4[[#This Row],[reference]],listeMarchandises[],7,FALSE))</f>
        <v>45971147.5</v>
      </c>
      <c r="J204" t="str">
        <f>IF(Table4[[#This Row],[valeur]]&lt;=Table4[[#This Row],[seuil d''alerte]],"stock faible","stock normal")</f>
        <v>stock normal</v>
      </c>
    </row>
    <row r="205" spans="1:10" x14ac:dyDescent="0.25">
      <c r="A205" t="s">
        <v>419</v>
      </c>
      <c r="B205" t="str">
        <f>VLOOKUP(Table4[[#This Row],[reference]],listeMarchandises[],2,FALSE)</f>
        <v>Smartphone Prime 054</v>
      </c>
      <c r="C205" t="str">
        <f>VLOOKUP(Table4[[#This Row],[reference]],listeMarchandises[],3,FALSE)</f>
        <v>Smartphone</v>
      </c>
      <c r="D205">
        <f>VLOOKUP(Table4[[#This Row],[reference]],listeMarchandises[],4,FALSE)</f>
        <v>5</v>
      </c>
      <c r="E205">
        <f>VLOOKUP(Table4[[#This Row],[reference]],listeMarchandises[],6,FALSE)</f>
        <v>92</v>
      </c>
      <c r="F205">
        <f>SUMIF(listeEntrées[Reference],Table4[[#This Row],[reference]],listeEntrées[Quantite])</f>
        <v>149</v>
      </c>
      <c r="G205">
        <f>SUMIF(listeSorties[Reference],Table4[[#This Row],[reference]],listeSorties[Quantite])</f>
        <v>0</v>
      </c>
      <c r="H205">
        <f>Table4[[#This Row],[stock initial]]+Table4[[#This Row],[entrees]]-Table4[[#This Row],[sorties]]</f>
        <v>241</v>
      </c>
      <c r="I205">
        <f>Table4[[#This Row],[stock final]]*(VLOOKUP(Table4[[#This Row],[reference]],listeMarchandises[],7,FALSE))</f>
        <v>166638840.26999998</v>
      </c>
      <c r="J205" t="str">
        <f>IF(Table4[[#This Row],[valeur]]&lt;=Table4[[#This Row],[seuil d''alerte]],"stock faible","stock normal")</f>
        <v>stock normal</v>
      </c>
    </row>
    <row r="206" spans="1:10" x14ac:dyDescent="0.25">
      <c r="A206" t="s">
        <v>421</v>
      </c>
      <c r="B206" t="str">
        <f>VLOOKUP(Table4[[#This Row],[reference]],listeMarchandises[],2,FALSE)</f>
        <v>Lave-linge 056</v>
      </c>
      <c r="C206" t="str">
        <f>VLOOKUP(Table4[[#This Row],[reference]],listeMarchandises[],3,FALSE)</f>
        <v>Electromenager</v>
      </c>
      <c r="D206">
        <f>VLOOKUP(Table4[[#This Row],[reference]],listeMarchandises[],4,FALSE)</f>
        <v>15</v>
      </c>
      <c r="E206">
        <f>VLOOKUP(Table4[[#This Row],[reference]],listeMarchandises[],6,FALSE)</f>
        <v>185</v>
      </c>
      <c r="F206">
        <f>SUMIF(listeEntrées[Reference],Table4[[#This Row],[reference]],listeEntrées[Quantite])</f>
        <v>131</v>
      </c>
      <c r="G206">
        <f>SUMIF(listeSorties[Reference],Table4[[#This Row],[reference]],listeSorties[Quantite])</f>
        <v>101</v>
      </c>
      <c r="H206">
        <f>Table4[[#This Row],[stock initial]]+Table4[[#This Row],[entrees]]-Table4[[#This Row],[sorties]]</f>
        <v>215</v>
      </c>
      <c r="I206">
        <f>Table4[[#This Row],[stock final]]*(VLOOKUP(Table4[[#This Row],[reference]],listeMarchandises[],7,FALSE))</f>
        <v>100986396.55</v>
      </c>
      <c r="J206" t="str">
        <f>IF(Table4[[#This Row],[valeur]]&lt;=Table4[[#This Row],[seuil d''alerte]],"stock faible","stock normal")</f>
        <v>stock normal</v>
      </c>
    </row>
    <row r="207" spans="1:10" x14ac:dyDescent="0.25">
      <c r="A207" t="s">
        <v>423</v>
      </c>
      <c r="B207" t="str">
        <f>VLOOKUP(Table4[[#This Row],[reference]],listeMarchandises[],2,FALSE)</f>
        <v>Groupe 12kVA 047</v>
      </c>
      <c r="C207" t="str">
        <f>VLOOKUP(Table4[[#This Row],[reference]],listeMarchandises[],3,FALSE)</f>
        <v>Groupe electrogene</v>
      </c>
      <c r="D207">
        <f>VLOOKUP(Table4[[#This Row],[reference]],listeMarchandises[],4,FALSE)</f>
        <v>6</v>
      </c>
      <c r="E207">
        <f>VLOOKUP(Table4[[#This Row],[reference]],listeMarchandises[],6,FALSE)</f>
        <v>307</v>
      </c>
      <c r="F207">
        <f>SUMIF(listeEntrées[Reference],Table4[[#This Row],[reference]],listeEntrées[Quantite])</f>
        <v>153</v>
      </c>
      <c r="G207">
        <f>SUMIF(listeSorties[Reference],Table4[[#This Row],[reference]],listeSorties[Quantite])</f>
        <v>24</v>
      </c>
      <c r="H207">
        <f>Table4[[#This Row],[stock initial]]+Table4[[#This Row],[entrees]]-Table4[[#This Row],[sorties]]</f>
        <v>436</v>
      </c>
      <c r="I207">
        <f>Table4[[#This Row],[stock final]]*(VLOOKUP(Table4[[#This Row],[reference]],listeMarchandises[],7,FALSE))</f>
        <v>1506556157.0799999</v>
      </c>
      <c r="J207" t="str">
        <f>IF(Table4[[#This Row],[valeur]]&lt;=Table4[[#This Row],[seuil d''alerte]],"stock faible","stock normal")</f>
        <v>stock normal</v>
      </c>
    </row>
    <row r="208" spans="1:10" x14ac:dyDescent="0.25">
      <c r="A208" t="s">
        <v>425</v>
      </c>
      <c r="B208" t="str">
        <f>VLOOKUP(Table4[[#This Row],[reference]],listeMarchandises[],2,FALSE)</f>
        <v>Lave-linge 057</v>
      </c>
      <c r="C208" t="str">
        <f>VLOOKUP(Table4[[#This Row],[reference]],listeMarchandises[],3,FALSE)</f>
        <v>Electromenager</v>
      </c>
      <c r="D208">
        <f>VLOOKUP(Table4[[#This Row],[reference]],listeMarchandises[],4,FALSE)</f>
        <v>21</v>
      </c>
      <c r="E208">
        <f>VLOOKUP(Table4[[#This Row],[reference]],listeMarchandises[],6,FALSE)</f>
        <v>239</v>
      </c>
      <c r="F208">
        <f>SUMIF(listeEntrées[Reference],Table4[[#This Row],[reference]],listeEntrées[Quantite])</f>
        <v>34</v>
      </c>
      <c r="G208">
        <f>SUMIF(listeSorties[Reference],Table4[[#This Row],[reference]],listeSorties[Quantite])</f>
        <v>271</v>
      </c>
      <c r="H208">
        <f>Table4[[#This Row],[stock initial]]+Table4[[#This Row],[entrees]]-Table4[[#This Row],[sorties]]</f>
        <v>2</v>
      </c>
      <c r="I208">
        <f>Table4[[#This Row],[stock final]]*(VLOOKUP(Table4[[#This Row],[reference]],listeMarchandises[],7,FALSE))</f>
        <v>1392512.64</v>
      </c>
      <c r="J208" t="str">
        <f>IF(Table4[[#This Row],[valeur]]&lt;=Table4[[#This Row],[seuil d''alerte]],"stock faible","stock normal")</f>
        <v>stock normal</v>
      </c>
    </row>
    <row r="209" spans="1:10" x14ac:dyDescent="0.25">
      <c r="A209" t="s">
        <v>427</v>
      </c>
      <c r="B209" t="str">
        <f>VLOOKUP(Table4[[#This Row],[reference]],listeMarchandises[],2,FALSE)</f>
        <v>Smartphone Nova 055</v>
      </c>
      <c r="C209" t="str">
        <f>VLOOKUP(Table4[[#This Row],[reference]],listeMarchandises[],3,FALSE)</f>
        <v>Smartphone</v>
      </c>
      <c r="D209">
        <f>VLOOKUP(Table4[[#This Row],[reference]],listeMarchandises[],4,FALSE)</f>
        <v>20</v>
      </c>
      <c r="E209">
        <f>VLOOKUP(Table4[[#This Row],[reference]],listeMarchandises[],6,FALSE)</f>
        <v>90</v>
      </c>
      <c r="F209">
        <f>SUMIF(listeEntrées[Reference],Table4[[#This Row],[reference]],listeEntrées[Quantite])</f>
        <v>92</v>
      </c>
      <c r="G209">
        <f>SUMIF(listeSorties[Reference],Table4[[#This Row],[reference]],listeSorties[Quantite])</f>
        <v>19</v>
      </c>
      <c r="H209">
        <f>Table4[[#This Row],[stock initial]]+Table4[[#This Row],[entrees]]-Table4[[#This Row],[sorties]]</f>
        <v>163</v>
      </c>
      <c r="I209">
        <f>Table4[[#This Row],[stock final]]*(VLOOKUP(Table4[[#This Row],[reference]],listeMarchandises[],7,FALSE))</f>
        <v>146305095.00999999</v>
      </c>
      <c r="J209" t="str">
        <f>IF(Table4[[#This Row],[valeur]]&lt;=Table4[[#This Row],[seuil d''alerte]],"stock faible","stock normal")</f>
        <v>stock normal</v>
      </c>
    </row>
    <row r="210" spans="1:10" x14ac:dyDescent="0.25">
      <c r="A210" t="s">
        <v>429</v>
      </c>
      <c r="B210" t="str">
        <f>VLOOKUP(Table4[[#This Row],[reference]],listeMarchandises[],2,FALSE)</f>
        <v>Violon etude 050</v>
      </c>
      <c r="C210" t="str">
        <f>VLOOKUP(Table4[[#This Row],[reference]],listeMarchandises[],3,FALSE)</f>
        <v>Instrument de musique</v>
      </c>
      <c r="D210">
        <f>VLOOKUP(Table4[[#This Row],[reference]],listeMarchandises[],4,FALSE)</f>
        <v>20</v>
      </c>
      <c r="E210">
        <f>VLOOKUP(Table4[[#This Row],[reference]],listeMarchandises[],6,FALSE)</f>
        <v>269</v>
      </c>
      <c r="F210">
        <f>SUMIF(listeEntrées[Reference],Table4[[#This Row],[reference]],listeEntrées[Quantite])</f>
        <v>2</v>
      </c>
      <c r="G210">
        <f>SUMIF(listeSorties[Reference],Table4[[#This Row],[reference]],listeSorties[Quantite])</f>
        <v>45</v>
      </c>
      <c r="H210">
        <f>Table4[[#This Row],[stock initial]]+Table4[[#This Row],[entrees]]-Table4[[#This Row],[sorties]]</f>
        <v>226</v>
      </c>
      <c r="I210">
        <f>Table4[[#This Row],[stock final]]*(VLOOKUP(Table4[[#This Row],[reference]],listeMarchandises[],7,FALSE))</f>
        <v>422632511.36000001</v>
      </c>
      <c r="J210" t="str">
        <f>IF(Table4[[#This Row],[valeur]]&lt;=Table4[[#This Row],[seuil d''alerte]],"stock faible","stock normal")</f>
        <v>stock normal</v>
      </c>
    </row>
    <row r="211" spans="1:10" x14ac:dyDescent="0.25">
      <c r="A211" t="s">
        <v>431</v>
      </c>
      <c r="B211" t="str">
        <f>VLOOKUP(Table4[[#This Row],[reference]],listeMarchandises[],2,FALSE)</f>
        <v>Groupe 8kVA 048</v>
      </c>
      <c r="C211" t="str">
        <f>VLOOKUP(Table4[[#This Row],[reference]],listeMarchandises[],3,FALSE)</f>
        <v>Groupe electrogene</v>
      </c>
      <c r="D211">
        <f>VLOOKUP(Table4[[#This Row],[reference]],listeMarchandises[],4,FALSE)</f>
        <v>22</v>
      </c>
      <c r="E211">
        <f>VLOOKUP(Table4[[#This Row],[reference]],listeMarchandises[],6,FALSE)</f>
        <v>358</v>
      </c>
      <c r="F211">
        <f>SUMIF(listeEntrées[Reference],Table4[[#This Row],[reference]],listeEntrées[Quantite])</f>
        <v>120</v>
      </c>
      <c r="G211">
        <f>SUMIF(listeSorties[Reference],Table4[[#This Row],[reference]],listeSorties[Quantite])</f>
        <v>47</v>
      </c>
      <c r="H211">
        <f>Table4[[#This Row],[stock initial]]+Table4[[#This Row],[entrees]]-Table4[[#This Row],[sorties]]</f>
        <v>431</v>
      </c>
      <c r="I211">
        <f>Table4[[#This Row],[stock final]]*(VLOOKUP(Table4[[#This Row],[reference]],listeMarchandises[],7,FALSE))</f>
        <v>458982519.83999997</v>
      </c>
      <c r="J211" t="str">
        <f>IF(Table4[[#This Row],[valeur]]&lt;=Table4[[#This Row],[seuil d''alerte]],"stock faible","stock normal")</f>
        <v>stock normal</v>
      </c>
    </row>
    <row r="212" spans="1:10" x14ac:dyDescent="0.25">
      <c r="A212" t="s">
        <v>433</v>
      </c>
      <c r="B212" t="str">
        <f>VLOOKUP(Table4[[#This Row],[reference]],listeMarchandises[],2,FALSE)</f>
        <v>Smartphone Prime 056</v>
      </c>
      <c r="C212" t="str">
        <f>VLOOKUP(Table4[[#This Row],[reference]],listeMarchandises[],3,FALSE)</f>
        <v>Smartphone</v>
      </c>
      <c r="D212">
        <f>VLOOKUP(Table4[[#This Row],[reference]],listeMarchandises[],4,FALSE)</f>
        <v>19</v>
      </c>
      <c r="E212">
        <f>VLOOKUP(Table4[[#This Row],[reference]],listeMarchandises[],6,FALSE)</f>
        <v>170</v>
      </c>
      <c r="F212">
        <f>SUMIF(listeEntrées[Reference],Table4[[#This Row],[reference]],listeEntrées[Quantite])</f>
        <v>71</v>
      </c>
      <c r="G212">
        <f>SUMIF(listeSorties[Reference],Table4[[#This Row],[reference]],listeSorties[Quantite])</f>
        <v>67</v>
      </c>
      <c r="H212">
        <f>Table4[[#This Row],[stock initial]]+Table4[[#This Row],[entrees]]-Table4[[#This Row],[sorties]]</f>
        <v>174</v>
      </c>
      <c r="I212">
        <f>Table4[[#This Row],[stock final]]*(VLOOKUP(Table4[[#This Row],[reference]],listeMarchandises[],7,FALSE))</f>
        <v>232897630.61999997</v>
      </c>
      <c r="J212" t="str">
        <f>IF(Table4[[#This Row],[valeur]]&lt;=Table4[[#This Row],[seuil d''alerte]],"stock faible","stock normal")</f>
        <v>stock normal</v>
      </c>
    </row>
    <row r="213" spans="1:10" x14ac:dyDescent="0.25">
      <c r="A213" t="s">
        <v>435</v>
      </c>
      <c r="B213" t="str">
        <f>VLOOKUP(Table4[[#This Row],[reference]],listeMarchandises[],2,FALSE)</f>
        <v>Smartphone Lite 057</v>
      </c>
      <c r="C213" t="str">
        <f>VLOOKUP(Table4[[#This Row],[reference]],listeMarchandises[],3,FALSE)</f>
        <v>Smartphone</v>
      </c>
      <c r="D213">
        <f>VLOOKUP(Table4[[#This Row],[reference]],listeMarchandises[],4,FALSE)</f>
        <v>9</v>
      </c>
      <c r="E213">
        <f>VLOOKUP(Table4[[#This Row],[reference]],listeMarchandises[],6,FALSE)</f>
        <v>302</v>
      </c>
      <c r="F213">
        <f>SUMIF(listeEntrées[Reference],Table4[[#This Row],[reference]],listeEntrées[Quantite])</f>
        <v>0</v>
      </c>
      <c r="G213">
        <f>SUMIF(listeSorties[Reference],Table4[[#This Row],[reference]],listeSorties[Quantite])</f>
        <v>23</v>
      </c>
      <c r="H213">
        <f>Table4[[#This Row],[stock initial]]+Table4[[#This Row],[entrees]]-Table4[[#This Row],[sorties]]</f>
        <v>279</v>
      </c>
      <c r="I213">
        <f>Table4[[#This Row],[stock final]]*(VLOOKUP(Table4[[#This Row],[reference]],listeMarchandises[],7,FALSE))</f>
        <v>308605446.08999997</v>
      </c>
      <c r="J213" t="str">
        <f>IF(Table4[[#This Row],[valeur]]&lt;=Table4[[#This Row],[seuil d''alerte]],"stock faible","stock normal")</f>
        <v>stock normal</v>
      </c>
    </row>
    <row r="214" spans="1:10" x14ac:dyDescent="0.25">
      <c r="A214" t="s">
        <v>437</v>
      </c>
      <c r="B214" t="str">
        <f>VLOOKUP(Table4[[#This Row],[reference]],listeMarchandises[],2,FALSE)</f>
        <v>Lave-linge 058</v>
      </c>
      <c r="C214" t="str">
        <f>VLOOKUP(Table4[[#This Row],[reference]],listeMarchandises[],3,FALSE)</f>
        <v>Electromenager</v>
      </c>
      <c r="D214">
        <f>VLOOKUP(Table4[[#This Row],[reference]],listeMarchandises[],4,FALSE)</f>
        <v>19</v>
      </c>
      <c r="E214">
        <f>VLOOKUP(Table4[[#This Row],[reference]],listeMarchandises[],6,FALSE)</f>
        <v>67</v>
      </c>
      <c r="F214">
        <f>SUMIF(listeEntrées[Reference],Table4[[#This Row],[reference]],listeEntrées[Quantite])</f>
        <v>240</v>
      </c>
      <c r="G214">
        <f>SUMIF(listeSorties[Reference],Table4[[#This Row],[reference]],listeSorties[Quantite])</f>
        <v>194</v>
      </c>
      <c r="H214">
        <f>Table4[[#This Row],[stock initial]]+Table4[[#This Row],[entrees]]-Table4[[#This Row],[sorties]]</f>
        <v>113</v>
      </c>
      <c r="I214">
        <f>Table4[[#This Row],[stock final]]*(VLOOKUP(Table4[[#This Row],[reference]],listeMarchandises[],7,FALSE))</f>
        <v>56566387.5</v>
      </c>
      <c r="J214" t="str">
        <f>IF(Table4[[#This Row],[valeur]]&lt;=Table4[[#This Row],[seuil d''alerte]],"stock faible","stock normal")</f>
        <v>stock normal</v>
      </c>
    </row>
    <row r="215" spans="1:10" x14ac:dyDescent="0.25">
      <c r="A215" t="s">
        <v>439</v>
      </c>
      <c r="B215" t="str">
        <f>VLOOKUP(Table4[[#This Row],[reference]],listeMarchandises[],2,FALSE)</f>
        <v>Climatiseur 059</v>
      </c>
      <c r="C215" t="str">
        <f>VLOOKUP(Table4[[#This Row],[reference]],listeMarchandises[],3,FALSE)</f>
        <v>Electromenager</v>
      </c>
      <c r="D215">
        <f>VLOOKUP(Table4[[#This Row],[reference]],listeMarchandises[],4,FALSE)</f>
        <v>13</v>
      </c>
      <c r="E215">
        <f>VLOOKUP(Table4[[#This Row],[reference]],listeMarchandises[],6,FALSE)</f>
        <v>289</v>
      </c>
      <c r="F215">
        <f>SUMIF(listeEntrées[Reference],Table4[[#This Row],[reference]],listeEntrées[Quantite])</f>
        <v>48</v>
      </c>
      <c r="G215">
        <f>SUMIF(listeSorties[Reference],Table4[[#This Row],[reference]],listeSorties[Quantite])</f>
        <v>169</v>
      </c>
      <c r="H215">
        <f>Table4[[#This Row],[stock initial]]+Table4[[#This Row],[entrees]]-Table4[[#This Row],[sorties]]</f>
        <v>168</v>
      </c>
      <c r="I215">
        <f>Table4[[#This Row],[stock final]]*(VLOOKUP(Table4[[#This Row],[reference]],listeMarchandises[],7,FALSE))</f>
        <v>174000699.59999999</v>
      </c>
      <c r="J215" t="str">
        <f>IF(Table4[[#This Row],[valeur]]&lt;=Table4[[#This Row],[seuil d''alerte]],"stock faible","stock normal")</f>
        <v>stock normal</v>
      </c>
    </row>
    <row r="216" spans="1:10" x14ac:dyDescent="0.25">
      <c r="A216" t="s">
        <v>441</v>
      </c>
      <c r="B216" t="str">
        <f>VLOOKUP(Table4[[#This Row],[reference]],listeMarchandises[],2,FALSE)</f>
        <v>Groupe 8kVA 049</v>
      </c>
      <c r="C216" t="str">
        <f>VLOOKUP(Table4[[#This Row],[reference]],listeMarchandises[],3,FALSE)</f>
        <v>Groupe electrogene</v>
      </c>
      <c r="D216">
        <f>VLOOKUP(Table4[[#This Row],[reference]],listeMarchandises[],4,FALSE)</f>
        <v>25</v>
      </c>
      <c r="E216">
        <f>VLOOKUP(Table4[[#This Row],[reference]],listeMarchandises[],6,FALSE)</f>
        <v>144</v>
      </c>
      <c r="F216">
        <f>SUMIF(listeEntrées[Reference],Table4[[#This Row],[reference]],listeEntrées[Quantite])</f>
        <v>391</v>
      </c>
      <c r="G216">
        <f>SUMIF(listeSorties[Reference],Table4[[#This Row],[reference]],listeSorties[Quantite])</f>
        <v>0</v>
      </c>
      <c r="H216">
        <f>Table4[[#This Row],[stock initial]]+Table4[[#This Row],[entrees]]-Table4[[#This Row],[sorties]]</f>
        <v>535</v>
      </c>
      <c r="I216">
        <f>Table4[[#This Row],[stock final]]*(VLOOKUP(Table4[[#This Row],[reference]],listeMarchandises[],7,FALSE))</f>
        <v>2123125698.75</v>
      </c>
      <c r="J216" t="str">
        <f>IF(Table4[[#This Row],[valeur]]&lt;=Table4[[#This Row],[seuil d''alerte]],"stock faible","stock normal")</f>
        <v>stock normal</v>
      </c>
    </row>
    <row r="217" spans="1:10" x14ac:dyDescent="0.25">
      <c r="A217" t="s">
        <v>443</v>
      </c>
      <c r="B217" t="str">
        <f>VLOOKUP(Table4[[#This Row],[reference]],listeMarchandises[],2,FALSE)</f>
        <v>Smartphone Edge 058</v>
      </c>
      <c r="C217" t="str">
        <f>VLOOKUP(Table4[[#This Row],[reference]],listeMarchandises[],3,FALSE)</f>
        <v>Smartphone</v>
      </c>
      <c r="D217">
        <f>VLOOKUP(Table4[[#This Row],[reference]],listeMarchandises[],4,FALSE)</f>
        <v>17</v>
      </c>
      <c r="E217">
        <f>VLOOKUP(Table4[[#This Row],[reference]],listeMarchandises[],6,FALSE)</f>
        <v>136</v>
      </c>
      <c r="F217">
        <f>SUMIF(listeEntrées[Reference],Table4[[#This Row],[reference]],listeEntrées[Quantite])</f>
        <v>138</v>
      </c>
      <c r="G217">
        <f>SUMIF(listeSorties[Reference],Table4[[#This Row],[reference]],listeSorties[Quantite])</f>
        <v>41</v>
      </c>
      <c r="H217">
        <f>Table4[[#This Row],[stock initial]]+Table4[[#This Row],[entrees]]-Table4[[#This Row],[sorties]]</f>
        <v>233</v>
      </c>
      <c r="I217">
        <f>Table4[[#This Row],[stock final]]*(VLOOKUP(Table4[[#This Row],[reference]],listeMarchandises[],7,FALSE))</f>
        <v>363558488.38</v>
      </c>
      <c r="J217" t="str">
        <f>IF(Table4[[#This Row],[valeur]]&lt;=Table4[[#This Row],[seuil d''alerte]],"stock faible","stock normal")</f>
        <v>stock normal</v>
      </c>
    </row>
    <row r="218" spans="1:10" x14ac:dyDescent="0.25">
      <c r="A218" t="s">
        <v>445</v>
      </c>
      <c r="B218" t="str">
        <f>VLOOKUP(Table4[[#This Row],[reference]],listeMarchandises[],2,FALSE)</f>
        <v>Smartphone Ultra 059</v>
      </c>
      <c r="C218" t="str">
        <f>VLOOKUP(Table4[[#This Row],[reference]],listeMarchandises[],3,FALSE)</f>
        <v>Smartphone</v>
      </c>
      <c r="D218">
        <f>VLOOKUP(Table4[[#This Row],[reference]],listeMarchandises[],4,FALSE)</f>
        <v>14</v>
      </c>
      <c r="E218">
        <f>VLOOKUP(Table4[[#This Row],[reference]],listeMarchandises[],6,FALSE)</f>
        <v>195</v>
      </c>
      <c r="F218">
        <f>SUMIF(listeEntrées[Reference],Table4[[#This Row],[reference]],listeEntrées[Quantite])</f>
        <v>151</v>
      </c>
      <c r="G218">
        <f>SUMIF(listeSorties[Reference],Table4[[#This Row],[reference]],listeSorties[Quantite])</f>
        <v>58</v>
      </c>
      <c r="H218">
        <f>Table4[[#This Row],[stock initial]]+Table4[[#This Row],[entrees]]-Table4[[#This Row],[sorties]]</f>
        <v>288</v>
      </c>
      <c r="I218">
        <f>Table4[[#This Row],[stock final]]*(VLOOKUP(Table4[[#This Row],[reference]],listeMarchandises[],7,FALSE))</f>
        <v>439217225.28000003</v>
      </c>
      <c r="J218" t="str">
        <f>IF(Table4[[#This Row],[valeur]]&lt;=Table4[[#This Row],[seuil d''alerte]],"stock faible","stock normal")</f>
        <v>stock normal</v>
      </c>
    </row>
    <row r="219" spans="1:10" x14ac:dyDescent="0.25">
      <c r="A219" t="s">
        <v>447</v>
      </c>
      <c r="B219" t="str">
        <f>VLOOKUP(Table4[[#This Row],[reference]],listeMarchandises[],2,FALSE)</f>
        <v>Clavier arrangeur 051</v>
      </c>
      <c r="C219" t="str">
        <f>VLOOKUP(Table4[[#This Row],[reference]],listeMarchandises[],3,FALSE)</f>
        <v>Instrument de musique</v>
      </c>
      <c r="D219">
        <f>VLOOKUP(Table4[[#This Row],[reference]],listeMarchandises[],4,FALSE)</f>
        <v>18</v>
      </c>
      <c r="E219">
        <f>VLOOKUP(Table4[[#This Row],[reference]],listeMarchandises[],6,FALSE)</f>
        <v>96</v>
      </c>
      <c r="F219">
        <f>SUMIF(listeEntrées[Reference],Table4[[#This Row],[reference]],listeEntrées[Quantite])</f>
        <v>0</v>
      </c>
      <c r="G219">
        <f>SUMIF(listeSorties[Reference],Table4[[#This Row],[reference]],listeSorties[Quantite])</f>
        <v>135</v>
      </c>
      <c r="H219">
        <f>Table4[[#This Row],[stock initial]]+Table4[[#This Row],[entrees]]-Table4[[#This Row],[sorties]]</f>
        <v>-39</v>
      </c>
      <c r="I219">
        <f>Table4[[#This Row],[stock final]]*(VLOOKUP(Table4[[#This Row],[reference]],listeMarchandises[],7,FALSE))</f>
        <v>-17725349.460000001</v>
      </c>
      <c r="J219" t="str">
        <f>IF(Table4[[#This Row],[valeur]]&lt;=Table4[[#This Row],[seuil d''alerte]],"stock faible","stock normal")</f>
        <v>stock faible</v>
      </c>
    </row>
    <row r="220" spans="1:10" x14ac:dyDescent="0.25">
      <c r="A220" t="s">
        <v>449</v>
      </c>
      <c r="B220" t="str">
        <f>VLOOKUP(Table4[[#This Row],[reference]],listeMarchandises[],2,FALSE)</f>
        <v>Groupe 12kVA 050</v>
      </c>
      <c r="C220" t="str">
        <f>VLOOKUP(Table4[[#This Row],[reference]],listeMarchandises[],3,FALSE)</f>
        <v>Groupe electrogene</v>
      </c>
      <c r="D220">
        <f>VLOOKUP(Table4[[#This Row],[reference]],listeMarchandises[],4,FALSE)</f>
        <v>5</v>
      </c>
      <c r="E220">
        <f>VLOOKUP(Table4[[#This Row],[reference]],listeMarchandises[],6,FALSE)</f>
        <v>240</v>
      </c>
      <c r="F220">
        <f>SUMIF(listeEntrées[Reference],Table4[[#This Row],[reference]],listeEntrées[Quantite])</f>
        <v>125</v>
      </c>
      <c r="G220">
        <f>SUMIF(listeSorties[Reference],Table4[[#This Row],[reference]],listeSorties[Quantite])</f>
        <v>159</v>
      </c>
      <c r="H220">
        <f>Table4[[#This Row],[stock initial]]+Table4[[#This Row],[entrees]]-Table4[[#This Row],[sorties]]</f>
        <v>206</v>
      </c>
      <c r="I220">
        <f>Table4[[#This Row],[stock final]]*(VLOOKUP(Table4[[#This Row],[reference]],listeMarchandises[],7,FALSE))</f>
        <v>295667715.01999998</v>
      </c>
      <c r="J220" t="str">
        <f>IF(Table4[[#This Row],[valeur]]&lt;=Table4[[#This Row],[seuil d''alerte]],"stock faible","stock normal")</f>
        <v>stock normal</v>
      </c>
    </row>
    <row r="221" spans="1:10" x14ac:dyDescent="0.25">
      <c r="A221" t="s">
        <v>451</v>
      </c>
      <c r="B221" t="str">
        <f>VLOOKUP(Table4[[#This Row],[reference]],listeMarchandises[],2,FALSE)</f>
        <v>Piano numerique 052</v>
      </c>
      <c r="C221" t="str">
        <f>VLOOKUP(Table4[[#This Row],[reference]],listeMarchandises[],3,FALSE)</f>
        <v>Instrument de musique</v>
      </c>
      <c r="D221">
        <f>VLOOKUP(Table4[[#This Row],[reference]],listeMarchandises[],4,FALSE)</f>
        <v>6</v>
      </c>
      <c r="E221">
        <f>VLOOKUP(Table4[[#This Row],[reference]],listeMarchandises[],6,FALSE)</f>
        <v>173</v>
      </c>
      <c r="F221">
        <f>SUMIF(listeEntrées[Reference],Table4[[#This Row],[reference]],listeEntrées[Quantite])</f>
        <v>48</v>
      </c>
      <c r="G221">
        <f>SUMIF(listeSorties[Reference],Table4[[#This Row],[reference]],listeSorties[Quantite])</f>
        <v>0</v>
      </c>
      <c r="H221">
        <f>Table4[[#This Row],[stock initial]]+Table4[[#This Row],[entrees]]-Table4[[#This Row],[sorties]]</f>
        <v>221</v>
      </c>
      <c r="I221">
        <f>Table4[[#This Row],[stock final]]*(VLOOKUP(Table4[[#This Row],[reference]],listeMarchandises[],7,FALSE))</f>
        <v>17975297.990000002</v>
      </c>
      <c r="J221" t="str">
        <f>IF(Table4[[#This Row],[valeur]]&lt;=Table4[[#This Row],[seuil d''alerte]],"stock faible","stock normal")</f>
        <v>stock normal</v>
      </c>
    </row>
    <row r="222" spans="1:10" x14ac:dyDescent="0.25">
      <c r="A222" t="s">
        <v>453</v>
      </c>
      <c r="B222" t="str">
        <f>VLOOKUP(Table4[[#This Row],[reference]],listeMarchandises[],2,FALSE)</f>
        <v>Piano numerique 053</v>
      </c>
      <c r="C222" t="str">
        <f>VLOOKUP(Table4[[#This Row],[reference]],listeMarchandises[],3,FALSE)</f>
        <v>Instrument de musique</v>
      </c>
      <c r="D222">
        <f>VLOOKUP(Table4[[#This Row],[reference]],listeMarchandises[],4,FALSE)</f>
        <v>7</v>
      </c>
      <c r="E222">
        <f>VLOOKUP(Table4[[#This Row],[reference]],listeMarchandises[],6,FALSE)</f>
        <v>104</v>
      </c>
      <c r="F222">
        <f>SUMIF(listeEntrées[Reference],Table4[[#This Row],[reference]],listeEntrées[Quantite])</f>
        <v>218</v>
      </c>
      <c r="G222">
        <f>SUMIF(listeSorties[Reference],Table4[[#This Row],[reference]],listeSorties[Quantite])</f>
        <v>164</v>
      </c>
      <c r="H222">
        <f>Table4[[#This Row],[stock initial]]+Table4[[#This Row],[entrees]]-Table4[[#This Row],[sorties]]</f>
        <v>158</v>
      </c>
      <c r="I222">
        <f>Table4[[#This Row],[stock final]]*(VLOOKUP(Table4[[#This Row],[reference]],listeMarchandises[],7,FALSE))</f>
        <v>218373778.16</v>
      </c>
      <c r="J222" t="str">
        <f>IF(Table4[[#This Row],[valeur]]&lt;=Table4[[#This Row],[seuil d''alerte]],"stock faible","stock normal")</f>
        <v>stock normal</v>
      </c>
    </row>
    <row r="223" spans="1:10" x14ac:dyDescent="0.25">
      <c r="A223" t="s">
        <v>455</v>
      </c>
      <c r="B223" t="str">
        <f>VLOOKUP(Table4[[#This Row],[reference]],listeMarchandises[],2,FALSE)</f>
        <v>Fer a repasser 060</v>
      </c>
      <c r="C223" t="str">
        <f>VLOOKUP(Table4[[#This Row],[reference]],listeMarchandises[],3,FALSE)</f>
        <v>Electromenager</v>
      </c>
      <c r="D223">
        <f>VLOOKUP(Table4[[#This Row],[reference]],listeMarchandises[],4,FALSE)</f>
        <v>11</v>
      </c>
      <c r="E223">
        <f>VLOOKUP(Table4[[#This Row],[reference]],listeMarchandises[],6,FALSE)</f>
        <v>324</v>
      </c>
      <c r="F223">
        <f>SUMIF(listeEntrées[Reference],Table4[[#This Row],[reference]],listeEntrées[Quantite])</f>
        <v>0</v>
      </c>
      <c r="G223">
        <f>SUMIF(listeSorties[Reference],Table4[[#This Row],[reference]],listeSorties[Quantite])</f>
        <v>101</v>
      </c>
      <c r="H223">
        <f>Table4[[#This Row],[stock initial]]+Table4[[#This Row],[entrees]]-Table4[[#This Row],[sorties]]</f>
        <v>223</v>
      </c>
      <c r="I223">
        <f>Table4[[#This Row],[stock final]]*(VLOOKUP(Table4[[#This Row],[reference]],listeMarchandises[],7,FALSE))</f>
        <v>243748473.03999999</v>
      </c>
      <c r="J223" t="str">
        <f>IF(Table4[[#This Row],[valeur]]&lt;=Table4[[#This Row],[seuil d''alerte]],"stock faible","stock normal")</f>
        <v>stock normal</v>
      </c>
    </row>
    <row r="224" spans="1:10" x14ac:dyDescent="0.25">
      <c r="A224" t="s">
        <v>457</v>
      </c>
      <c r="B224" t="str">
        <f>VLOOKUP(Table4[[#This Row],[reference]],listeMarchandises[],2,FALSE)</f>
        <v>Groupe 12kVA 051</v>
      </c>
      <c r="C224" t="str">
        <f>VLOOKUP(Table4[[#This Row],[reference]],listeMarchandises[],3,FALSE)</f>
        <v>Groupe electrogene</v>
      </c>
      <c r="D224">
        <f>VLOOKUP(Table4[[#This Row],[reference]],listeMarchandises[],4,FALSE)</f>
        <v>16</v>
      </c>
      <c r="E224">
        <f>VLOOKUP(Table4[[#This Row],[reference]],listeMarchandises[],6,FALSE)</f>
        <v>209</v>
      </c>
      <c r="F224">
        <f>SUMIF(listeEntrées[Reference],Table4[[#This Row],[reference]],listeEntrées[Quantite])</f>
        <v>248</v>
      </c>
      <c r="G224">
        <f>SUMIF(listeSorties[Reference],Table4[[#This Row],[reference]],listeSorties[Quantite])</f>
        <v>29</v>
      </c>
      <c r="H224">
        <f>Table4[[#This Row],[stock initial]]+Table4[[#This Row],[entrees]]-Table4[[#This Row],[sorties]]</f>
        <v>428</v>
      </c>
      <c r="I224">
        <f>Table4[[#This Row],[stock final]]*(VLOOKUP(Table4[[#This Row],[reference]],listeMarchandises[],7,FALSE))</f>
        <v>232871679.88</v>
      </c>
      <c r="J224" t="str">
        <f>IF(Table4[[#This Row],[valeur]]&lt;=Table4[[#This Row],[seuil d''alerte]],"stock faible","stock normal")</f>
        <v>stock normal</v>
      </c>
    </row>
    <row r="225" spans="1:10" x14ac:dyDescent="0.25">
      <c r="A225" t="s">
        <v>459</v>
      </c>
      <c r="B225" t="str">
        <f>VLOOKUP(Table4[[#This Row],[reference]],listeMarchandises[],2,FALSE)</f>
        <v>Groupe 5kVA 052</v>
      </c>
      <c r="C225" t="str">
        <f>VLOOKUP(Table4[[#This Row],[reference]],listeMarchandises[],3,FALSE)</f>
        <v>Groupe electrogene</v>
      </c>
      <c r="D225">
        <f>VLOOKUP(Table4[[#This Row],[reference]],listeMarchandises[],4,FALSE)</f>
        <v>14</v>
      </c>
      <c r="E225">
        <f>VLOOKUP(Table4[[#This Row],[reference]],listeMarchandises[],6,FALSE)</f>
        <v>77</v>
      </c>
      <c r="F225">
        <f>SUMIF(listeEntrées[Reference],Table4[[#This Row],[reference]],listeEntrées[Quantite])</f>
        <v>150</v>
      </c>
      <c r="G225">
        <f>SUMIF(listeSorties[Reference],Table4[[#This Row],[reference]],listeSorties[Quantite])</f>
        <v>171</v>
      </c>
      <c r="H225">
        <f>Table4[[#This Row],[stock initial]]+Table4[[#This Row],[entrees]]-Table4[[#This Row],[sorties]]</f>
        <v>56</v>
      </c>
      <c r="I225">
        <f>Table4[[#This Row],[stock final]]*(VLOOKUP(Table4[[#This Row],[reference]],listeMarchandises[],7,FALSE))</f>
        <v>140324156.56</v>
      </c>
      <c r="J225" t="str">
        <f>IF(Table4[[#This Row],[valeur]]&lt;=Table4[[#This Row],[seuil d''alerte]],"stock faible","stock normal")</f>
        <v>stock normal</v>
      </c>
    </row>
    <row r="226" spans="1:10" x14ac:dyDescent="0.25">
      <c r="A226" t="s">
        <v>461</v>
      </c>
      <c r="B226" t="str">
        <f>VLOOKUP(Table4[[#This Row],[reference]],listeMarchandises[],2,FALSE)</f>
        <v>Lave-linge 061</v>
      </c>
      <c r="C226" t="str">
        <f>VLOOKUP(Table4[[#This Row],[reference]],listeMarchandises[],3,FALSE)</f>
        <v>Electromenager</v>
      </c>
      <c r="D226">
        <f>VLOOKUP(Table4[[#This Row],[reference]],listeMarchandises[],4,FALSE)</f>
        <v>13</v>
      </c>
      <c r="E226">
        <f>VLOOKUP(Table4[[#This Row],[reference]],listeMarchandises[],6,FALSE)</f>
        <v>92</v>
      </c>
      <c r="F226">
        <f>SUMIF(listeEntrées[Reference],Table4[[#This Row],[reference]],listeEntrées[Quantite])</f>
        <v>156</v>
      </c>
      <c r="G226">
        <f>SUMIF(listeSorties[Reference],Table4[[#This Row],[reference]],listeSorties[Quantite])</f>
        <v>145</v>
      </c>
      <c r="H226">
        <f>Table4[[#This Row],[stock initial]]+Table4[[#This Row],[entrees]]-Table4[[#This Row],[sorties]]</f>
        <v>103</v>
      </c>
      <c r="I226">
        <f>Table4[[#This Row],[stock final]]*(VLOOKUP(Table4[[#This Row],[reference]],listeMarchandises[],7,FALSE))</f>
        <v>78127035.730000004</v>
      </c>
      <c r="J226" t="str">
        <f>IF(Table4[[#This Row],[valeur]]&lt;=Table4[[#This Row],[seuil d''alerte]],"stock faible","stock normal")</f>
        <v>stock normal</v>
      </c>
    </row>
    <row r="227" spans="1:10" x14ac:dyDescent="0.25">
      <c r="A227" t="s">
        <v>463</v>
      </c>
      <c r="B227" t="str">
        <f>VLOOKUP(Table4[[#This Row],[reference]],listeMarchandises[],2,FALSE)</f>
        <v>Saxophone alto 054</v>
      </c>
      <c r="C227" t="str">
        <f>VLOOKUP(Table4[[#This Row],[reference]],listeMarchandises[],3,FALSE)</f>
        <v>Instrument de musique</v>
      </c>
      <c r="D227">
        <f>VLOOKUP(Table4[[#This Row],[reference]],listeMarchandises[],4,FALSE)</f>
        <v>3</v>
      </c>
      <c r="E227">
        <f>VLOOKUP(Table4[[#This Row],[reference]],listeMarchandises[],6,FALSE)</f>
        <v>53</v>
      </c>
      <c r="F227">
        <f>SUMIF(listeEntrées[Reference],Table4[[#This Row],[reference]],listeEntrées[Quantite])</f>
        <v>97</v>
      </c>
      <c r="G227">
        <f>SUMIF(listeSorties[Reference],Table4[[#This Row],[reference]],listeSorties[Quantite])</f>
        <v>4</v>
      </c>
      <c r="H227">
        <f>Table4[[#This Row],[stock initial]]+Table4[[#This Row],[entrees]]-Table4[[#This Row],[sorties]]</f>
        <v>146</v>
      </c>
      <c r="I227">
        <f>Table4[[#This Row],[stock final]]*(VLOOKUP(Table4[[#This Row],[reference]],listeMarchandises[],7,FALSE))</f>
        <v>129559865.64</v>
      </c>
      <c r="J227" t="str">
        <f>IF(Table4[[#This Row],[valeur]]&lt;=Table4[[#This Row],[seuil d''alerte]],"stock faible","stock normal")</f>
        <v>stock normal</v>
      </c>
    </row>
    <row r="228" spans="1:10" x14ac:dyDescent="0.25">
      <c r="A228" t="s">
        <v>465</v>
      </c>
      <c r="B228" t="str">
        <f>VLOOKUP(Table4[[#This Row],[reference]],listeMarchandises[],2,FALSE)</f>
        <v>Groupe 8kVA 053</v>
      </c>
      <c r="C228" t="str">
        <f>VLOOKUP(Table4[[#This Row],[reference]],listeMarchandises[],3,FALSE)</f>
        <v>Groupe electrogene</v>
      </c>
      <c r="D228">
        <f>VLOOKUP(Table4[[#This Row],[reference]],listeMarchandises[],4,FALSE)</f>
        <v>17</v>
      </c>
      <c r="E228">
        <f>VLOOKUP(Table4[[#This Row],[reference]],listeMarchandises[],6,FALSE)</f>
        <v>156</v>
      </c>
      <c r="F228">
        <f>SUMIF(listeEntrées[Reference],Table4[[#This Row],[reference]],listeEntrées[Quantite])</f>
        <v>112</v>
      </c>
      <c r="G228">
        <f>SUMIF(listeSorties[Reference],Table4[[#This Row],[reference]],listeSorties[Quantite])</f>
        <v>7</v>
      </c>
      <c r="H228">
        <f>Table4[[#This Row],[stock initial]]+Table4[[#This Row],[entrees]]-Table4[[#This Row],[sorties]]</f>
        <v>261</v>
      </c>
      <c r="I228">
        <f>Table4[[#This Row],[stock final]]*(VLOOKUP(Table4[[#This Row],[reference]],listeMarchandises[],7,FALSE))</f>
        <v>527218118.19</v>
      </c>
      <c r="J228" t="str">
        <f>IF(Table4[[#This Row],[valeur]]&lt;=Table4[[#This Row],[seuil d''alerte]],"stock faible","stock normal")</f>
        <v>stock normal</v>
      </c>
    </row>
    <row r="229" spans="1:10" x14ac:dyDescent="0.25">
      <c r="A229" t="s">
        <v>467</v>
      </c>
      <c r="B229" t="str">
        <f>VLOOKUP(Table4[[#This Row],[reference]],listeMarchandises[],2,FALSE)</f>
        <v>Saxophone alto 055</v>
      </c>
      <c r="C229" t="str">
        <f>VLOOKUP(Table4[[#This Row],[reference]],listeMarchandises[],3,FALSE)</f>
        <v>Instrument de musique</v>
      </c>
      <c r="D229">
        <f>VLOOKUP(Table4[[#This Row],[reference]],listeMarchandises[],4,FALSE)</f>
        <v>6</v>
      </c>
      <c r="E229">
        <f>VLOOKUP(Table4[[#This Row],[reference]],listeMarchandises[],6,FALSE)</f>
        <v>62</v>
      </c>
      <c r="F229">
        <f>SUMIF(listeEntrées[Reference],Table4[[#This Row],[reference]],listeEntrées[Quantite])</f>
        <v>77</v>
      </c>
      <c r="G229">
        <f>SUMIF(listeSorties[Reference],Table4[[#This Row],[reference]],listeSorties[Quantite])</f>
        <v>56</v>
      </c>
      <c r="H229">
        <f>Table4[[#This Row],[stock initial]]+Table4[[#This Row],[entrees]]-Table4[[#This Row],[sorties]]</f>
        <v>83</v>
      </c>
      <c r="I229">
        <f>Table4[[#This Row],[stock final]]*(VLOOKUP(Table4[[#This Row],[reference]],listeMarchandises[],7,FALSE))</f>
        <v>147727353.28999999</v>
      </c>
      <c r="J229" t="str">
        <f>IF(Table4[[#This Row],[valeur]]&lt;=Table4[[#This Row],[seuil d''alerte]],"stock faible","stock normal")</f>
        <v>stock normal</v>
      </c>
    </row>
    <row r="230" spans="1:10" x14ac:dyDescent="0.25">
      <c r="A230" t="s">
        <v>469</v>
      </c>
      <c r="B230" t="str">
        <f>VLOOKUP(Table4[[#This Row],[reference]],listeMarchandises[],2,FALSE)</f>
        <v>Mixeur 062</v>
      </c>
      <c r="C230" t="str">
        <f>VLOOKUP(Table4[[#This Row],[reference]],listeMarchandises[],3,FALSE)</f>
        <v>Electromenager</v>
      </c>
      <c r="D230">
        <f>VLOOKUP(Table4[[#This Row],[reference]],listeMarchandises[],4,FALSE)</f>
        <v>14</v>
      </c>
      <c r="E230">
        <f>VLOOKUP(Table4[[#This Row],[reference]],listeMarchandises[],6,FALSE)</f>
        <v>81</v>
      </c>
      <c r="F230">
        <f>SUMIF(listeEntrées[Reference],Table4[[#This Row],[reference]],listeEntrées[Quantite])</f>
        <v>101</v>
      </c>
      <c r="G230">
        <f>SUMIF(listeSorties[Reference],Table4[[#This Row],[reference]],listeSorties[Quantite])</f>
        <v>118</v>
      </c>
      <c r="H230">
        <f>Table4[[#This Row],[stock initial]]+Table4[[#This Row],[entrees]]-Table4[[#This Row],[sorties]]</f>
        <v>64</v>
      </c>
      <c r="I230">
        <f>Table4[[#This Row],[stock final]]*(VLOOKUP(Table4[[#This Row],[reference]],listeMarchandises[],7,FALSE))</f>
        <v>48726227.200000003</v>
      </c>
      <c r="J230" t="str">
        <f>IF(Table4[[#This Row],[valeur]]&lt;=Table4[[#This Row],[seuil d''alerte]],"stock faible","stock normal")</f>
        <v>stock normal</v>
      </c>
    </row>
    <row r="231" spans="1:10" x14ac:dyDescent="0.25">
      <c r="A231" t="s">
        <v>471</v>
      </c>
      <c r="B231" t="str">
        <f>VLOOKUP(Table4[[#This Row],[reference]],listeMarchandises[],2,FALSE)</f>
        <v>Guitare acoustique 056</v>
      </c>
      <c r="C231" t="str">
        <f>VLOOKUP(Table4[[#This Row],[reference]],listeMarchandises[],3,FALSE)</f>
        <v>Instrument de musique</v>
      </c>
      <c r="D231">
        <f>VLOOKUP(Table4[[#This Row],[reference]],listeMarchandises[],4,FALSE)</f>
        <v>20</v>
      </c>
      <c r="E231">
        <f>VLOOKUP(Table4[[#This Row],[reference]],listeMarchandises[],6,FALSE)</f>
        <v>247</v>
      </c>
      <c r="F231">
        <f>SUMIF(listeEntrées[Reference],Table4[[#This Row],[reference]],listeEntrées[Quantite])</f>
        <v>62</v>
      </c>
      <c r="G231">
        <f>SUMIF(listeSorties[Reference],Table4[[#This Row],[reference]],listeSorties[Quantite])</f>
        <v>50</v>
      </c>
      <c r="H231">
        <f>Table4[[#This Row],[stock initial]]+Table4[[#This Row],[entrees]]-Table4[[#This Row],[sorties]]</f>
        <v>259</v>
      </c>
      <c r="I231">
        <f>Table4[[#This Row],[stock final]]*(VLOOKUP(Table4[[#This Row],[reference]],listeMarchandises[],7,FALSE))</f>
        <v>163523330.38999999</v>
      </c>
      <c r="J231" t="str">
        <f>IF(Table4[[#This Row],[valeur]]&lt;=Table4[[#This Row],[seuil d''alerte]],"stock faible","stock normal")</f>
        <v>stock normal</v>
      </c>
    </row>
    <row r="232" spans="1:10" x14ac:dyDescent="0.25">
      <c r="A232" t="s">
        <v>473</v>
      </c>
      <c r="B232" t="str">
        <f>VLOOKUP(Table4[[#This Row],[reference]],listeMarchandises[],2,FALSE)</f>
        <v>Violon etude 057</v>
      </c>
      <c r="C232" t="str">
        <f>VLOOKUP(Table4[[#This Row],[reference]],listeMarchandises[],3,FALSE)</f>
        <v>Instrument de musique</v>
      </c>
      <c r="D232">
        <f>VLOOKUP(Table4[[#This Row],[reference]],listeMarchandises[],4,FALSE)</f>
        <v>11</v>
      </c>
      <c r="E232">
        <f>VLOOKUP(Table4[[#This Row],[reference]],listeMarchandises[],6,FALSE)</f>
        <v>95</v>
      </c>
      <c r="F232">
        <f>SUMIF(listeEntrées[Reference],Table4[[#This Row],[reference]],listeEntrées[Quantite])</f>
        <v>0</v>
      </c>
      <c r="G232">
        <f>SUMIF(listeSorties[Reference],Table4[[#This Row],[reference]],listeSorties[Quantite])</f>
        <v>65</v>
      </c>
      <c r="H232">
        <f>Table4[[#This Row],[stock initial]]+Table4[[#This Row],[entrees]]-Table4[[#This Row],[sorties]]</f>
        <v>30</v>
      </c>
      <c r="I232">
        <f>Table4[[#This Row],[stock final]]*(VLOOKUP(Table4[[#This Row],[reference]],listeMarchandises[],7,FALSE))</f>
        <v>37568960.099999994</v>
      </c>
      <c r="J232" t="str">
        <f>IF(Table4[[#This Row],[valeur]]&lt;=Table4[[#This Row],[seuil d''alerte]],"stock faible","stock normal")</f>
        <v>stock normal</v>
      </c>
    </row>
    <row r="233" spans="1:10" x14ac:dyDescent="0.25">
      <c r="A233" t="s">
        <v>475</v>
      </c>
      <c r="B233" t="str">
        <f>VLOOKUP(Table4[[#This Row],[reference]],listeMarchandises[],2,FALSE)</f>
        <v>Smartphone Prime 060</v>
      </c>
      <c r="C233" t="str">
        <f>VLOOKUP(Table4[[#This Row],[reference]],listeMarchandises[],3,FALSE)</f>
        <v>Smartphone</v>
      </c>
      <c r="D233">
        <f>VLOOKUP(Table4[[#This Row],[reference]],listeMarchandises[],4,FALSE)</f>
        <v>5</v>
      </c>
      <c r="E233">
        <f>VLOOKUP(Table4[[#This Row],[reference]],listeMarchandises[],6,FALSE)</f>
        <v>137</v>
      </c>
      <c r="F233">
        <f>SUMIF(listeEntrées[Reference],Table4[[#This Row],[reference]],listeEntrées[Quantite])</f>
        <v>200</v>
      </c>
      <c r="G233">
        <f>SUMIF(listeSorties[Reference],Table4[[#This Row],[reference]],listeSorties[Quantite])</f>
        <v>74</v>
      </c>
      <c r="H233">
        <f>Table4[[#This Row],[stock initial]]+Table4[[#This Row],[entrees]]-Table4[[#This Row],[sorties]]</f>
        <v>263</v>
      </c>
      <c r="I233">
        <f>Table4[[#This Row],[stock final]]*(VLOOKUP(Table4[[#This Row],[reference]],listeMarchandises[],7,FALSE))</f>
        <v>395314200.66000003</v>
      </c>
      <c r="J233" t="str">
        <f>IF(Table4[[#This Row],[valeur]]&lt;=Table4[[#This Row],[seuil d''alerte]],"stock faible","stock normal")</f>
        <v>stock normal</v>
      </c>
    </row>
    <row r="234" spans="1:10" x14ac:dyDescent="0.25">
      <c r="A234" t="s">
        <v>477</v>
      </c>
      <c r="B234" t="str">
        <f>VLOOKUP(Table4[[#This Row],[reference]],listeMarchandises[],2,FALSE)</f>
        <v>Aspirateur 063</v>
      </c>
      <c r="C234" t="str">
        <f>VLOOKUP(Table4[[#This Row],[reference]],listeMarchandises[],3,FALSE)</f>
        <v>Electromenager</v>
      </c>
      <c r="D234">
        <f>VLOOKUP(Table4[[#This Row],[reference]],listeMarchandises[],4,FALSE)</f>
        <v>11</v>
      </c>
      <c r="E234">
        <f>VLOOKUP(Table4[[#This Row],[reference]],listeMarchandises[],6,FALSE)</f>
        <v>131</v>
      </c>
      <c r="F234">
        <f>SUMIF(listeEntrées[Reference],Table4[[#This Row],[reference]],listeEntrées[Quantite])</f>
        <v>116</v>
      </c>
      <c r="G234">
        <f>SUMIF(listeSorties[Reference],Table4[[#This Row],[reference]],listeSorties[Quantite])</f>
        <v>10</v>
      </c>
      <c r="H234">
        <f>Table4[[#This Row],[stock initial]]+Table4[[#This Row],[entrees]]-Table4[[#This Row],[sorties]]</f>
        <v>237</v>
      </c>
      <c r="I234">
        <f>Table4[[#This Row],[stock final]]*(VLOOKUP(Table4[[#This Row],[reference]],listeMarchandises[],7,FALSE))</f>
        <v>39946518.269999996</v>
      </c>
      <c r="J234" t="str">
        <f>IF(Table4[[#This Row],[valeur]]&lt;=Table4[[#This Row],[seuil d''alerte]],"stock faible","stock normal")</f>
        <v>stock normal</v>
      </c>
    </row>
    <row r="235" spans="1:10" x14ac:dyDescent="0.25">
      <c r="A235" t="s">
        <v>479</v>
      </c>
      <c r="B235" t="str">
        <f>VLOOKUP(Table4[[#This Row],[reference]],listeMarchandises[],2,FALSE)</f>
        <v>Groupe 5kVA 054</v>
      </c>
      <c r="C235" t="str">
        <f>VLOOKUP(Table4[[#This Row],[reference]],listeMarchandises[],3,FALSE)</f>
        <v>Groupe electrogene</v>
      </c>
      <c r="D235">
        <f>VLOOKUP(Table4[[#This Row],[reference]],listeMarchandises[],4,FALSE)</f>
        <v>4</v>
      </c>
      <c r="E235">
        <f>VLOOKUP(Table4[[#This Row],[reference]],listeMarchandises[],6,FALSE)</f>
        <v>225</v>
      </c>
      <c r="F235">
        <f>SUMIF(listeEntrées[Reference],Table4[[#This Row],[reference]],listeEntrées[Quantite])</f>
        <v>311</v>
      </c>
      <c r="G235">
        <f>SUMIF(listeSorties[Reference],Table4[[#This Row],[reference]],listeSorties[Quantite])</f>
        <v>44</v>
      </c>
      <c r="H235">
        <f>Table4[[#This Row],[stock initial]]+Table4[[#This Row],[entrees]]-Table4[[#This Row],[sorties]]</f>
        <v>492</v>
      </c>
      <c r="I235">
        <f>Table4[[#This Row],[stock final]]*(VLOOKUP(Table4[[#This Row],[reference]],listeMarchandises[],7,FALSE))</f>
        <v>1715039853.1199999</v>
      </c>
      <c r="J235" t="str">
        <f>IF(Table4[[#This Row],[valeur]]&lt;=Table4[[#This Row],[seuil d''alerte]],"stock faible","stock normal")</f>
        <v>stock normal</v>
      </c>
    </row>
    <row r="236" spans="1:10" x14ac:dyDescent="0.25">
      <c r="A236" t="s">
        <v>481</v>
      </c>
      <c r="B236" t="str">
        <f>VLOOKUP(Table4[[#This Row],[reference]],listeMarchandises[],2,FALSE)</f>
        <v>Lave-linge 064</v>
      </c>
      <c r="C236" t="str">
        <f>VLOOKUP(Table4[[#This Row],[reference]],listeMarchandises[],3,FALSE)</f>
        <v>Electromenager</v>
      </c>
      <c r="D236">
        <f>VLOOKUP(Table4[[#This Row],[reference]],listeMarchandises[],4,FALSE)</f>
        <v>11</v>
      </c>
      <c r="E236">
        <f>VLOOKUP(Table4[[#This Row],[reference]],listeMarchandises[],6,FALSE)</f>
        <v>25</v>
      </c>
      <c r="F236">
        <f>SUMIF(listeEntrées[Reference],Table4[[#This Row],[reference]],listeEntrées[Quantite])</f>
        <v>103</v>
      </c>
      <c r="G236">
        <f>SUMIF(listeSorties[Reference],Table4[[#This Row],[reference]],listeSorties[Quantite])</f>
        <v>0</v>
      </c>
      <c r="H236">
        <f>Table4[[#This Row],[stock initial]]+Table4[[#This Row],[entrees]]-Table4[[#This Row],[sorties]]</f>
        <v>128</v>
      </c>
      <c r="I236">
        <f>Table4[[#This Row],[stock final]]*(VLOOKUP(Table4[[#This Row],[reference]],listeMarchandises[],7,FALSE))</f>
        <v>69229445.120000005</v>
      </c>
      <c r="J236" t="str">
        <f>IF(Table4[[#This Row],[valeur]]&lt;=Table4[[#This Row],[seuil d''alerte]],"stock faible","stock normal")</f>
        <v>stock normal</v>
      </c>
    </row>
    <row r="237" spans="1:10" x14ac:dyDescent="0.25">
      <c r="A237" t="s">
        <v>483</v>
      </c>
      <c r="B237" t="str">
        <f>VLOOKUP(Table4[[#This Row],[reference]],listeMarchandises[],2,FALSE)</f>
        <v>Aspirateur 065</v>
      </c>
      <c r="C237" t="str">
        <f>VLOOKUP(Table4[[#This Row],[reference]],listeMarchandises[],3,FALSE)</f>
        <v>Electromenager</v>
      </c>
      <c r="D237">
        <f>VLOOKUP(Table4[[#This Row],[reference]],listeMarchandises[],4,FALSE)</f>
        <v>16</v>
      </c>
      <c r="E237">
        <f>VLOOKUP(Table4[[#This Row],[reference]],listeMarchandises[],6,FALSE)</f>
        <v>342</v>
      </c>
      <c r="F237">
        <f>SUMIF(listeEntrées[Reference],Table4[[#This Row],[reference]],listeEntrées[Quantite])</f>
        <v>155</v>
      </c>
      <c r="G237">
        <f>SUMIF(listeSorties[Reference],Table4[[#This Row],[reference]],listeSorties[Quantite])</f>
        <v>90</v>
      </c>
      <c r="H237">
        <f>Table4[[#This Row],[stock initial]]+Table4[[#This Row],[entrees]]-Table4[[#This Row],[sorties]]</f>
        <v>407</v>
      </c>
      <c r="I237">
        <f>Table4[[#This Row],[stock final]]*(VLOOKUP(Table4[[#This Row],[reference]],listeMarchandises[],7,FALSE))</f>
        <v>467536891.03000003</v>
      </c>
      <c r="J237" t="str">
        <f>IF(Table4[[#This Row],[valeur]]&lt;=Table4[[#This Row],[seuil d''alerte]],"stock faible","stock normal")</f>
        <v>stock normal</v>
      </c>
    </row>
    <row r="238" spans="1:10" x14ac:dyDescent="0.25">
      <c r="A238" t="s">
        <v>485</v>
      </c>
      <c r="B238" t="str">
        <f>VLOOKUP(Table4[[#This Row],[reference]],listeMarchandises[],2,FALSE)</f>
        <v>Saxophone alto 058</v>
      </c>
      <c r="C238" t="str">
        <f>VLOOKUP(Table4[[#This Row],[reference]],listeMarchandises[],3,FALSE)</f>
        <v>Instrument de musique</v>
      </c>
      <c r="D238">
        <f>VLOOKUP(Table4[[#This Row],[reference]],listeMarchandises[],4,FALSE)</f>
        <v>8</v>
      </c>
      <c r="E238">
        <f>VLOOKUP(Table4[[#This Row],[reference]],listeMarchandises[],6,FALSE)</f>
        <v>13</v>
      </c>
      <c r="F238">
        <f>SUMIF(listeEntrées[Reference],Table4[[#This Row],[reference]],listeEntrées[Quantite])</f>
        <v>8</v>
      </c>
      <c r="G238">
        <f>SUMIF(listeSorties[Reference],Table4[[#This Row],[reference]],listeSorties[Quantite])</f>
        <v>132</v>
      </c>
      <c r="H238">
        <f>Table4[[#This Row],[stock initial]]+Table4[[#This Row],[entrees]]-Table4[[#This Row],[sorties]]</f>
        <v>-111</v>
      </c>
      <c r="I238">
        <f>Table4[[#This Row],[stock final]]*(VLOOKUP(Table4[[#This Row],[reference]],listeMarchandises[],7,FALSE))</f>
        <v>-163608030.41999999</v>
      </c>
      <c r="J238" t="str">
        <f>IF(Table4[[#This Row],[valeur]]&lt;=Table4[[#This Row],[seuil d''alerte]],"stock faible","stock normal")</f>
        <v>stock faible</v>
      </c>
    </row>
    <row r="239" spans="1:10" x14ac:dyDescent="0.25">
      <c r="A239" t="s">
        <v>487</v>
      </c>
      <c r="B239" t="str">
        <f>VLOOKUP(Table4[[#This Row],[reference]],listeMarchandises[],2,FALSE)</f>
        <v>Micro-ondes 066</v>
      </c>
      <c r="C239" t="str">
        <f>VLOOKUP(Table4[[#This Row],[reference]],listeMarchandises[],3,FALSE)</f>
        <v>Electromenager</v>
      </c>
      <c r="D239">
        <f>VLOOKUP(Table4[[#This Row],[reference]],listeMarchandises[],4,FALSE)</f>
        <v>13</v>
      </c>
      <c r="E239">
        <f>VLOOKUP(Table4[[#This Row],[reference]],listeMarchandises[],6,FALSE)</f>
        <v>265</v>
      </c>
      <c r="F239">
        <f>SUMIF(listeEntrées[Reference],Table4[[#This Row],[reference]],listeEntrées[Quantite])</f>
        <v>138</v>
      </c>
      <c r="G239">
        <f>SUMIF(listeSorties[Reference],Table4[[#This Row],[reference]],listeSorties[Quantite])</f>
        <v>16</v>
      </c>
      <c r="H239">
        <f>Table4[[#This Row],[stock initial]]+Table4[[#This Row],[entrees]]-Table4[[#This Row],[sorties]]</f>
        <v>387</v>
      </c>
      <c r="I239">
        <f>Table4[[#This Row],[stock final]]*(VLOOKUP(Table4[[#This Row],[reference]],listeMarchandises[],7,FALSE))</f>
        <v>144519108.93000001</v>
      </c>
      <c r="J239" t="str">
        <f>IF(Table4[[#This Row],[valeur]]&lt;=Table4[[#This Row],[seuil d''alerte]],"stock faible","stock normal")</f>
        <v>stock normal</v>
      </c>
    </row>
    <row r="240" spans="1:10" x14ac:dyDescent="0.25">
      <c r="A240" t="s">
        <v>489</v>
      </c>
      <c r="B240" t="str">
        <f>VLOOKUP(Table4[[#This Row],[reference]],listeMarchandises[],2,FALSE)</f>
        <v>Smartphone Alpha 061</v>
      </c>
      <c r="C240" t="str">
        <f>VLOOKUP(Table4[[#This Row],[reference]],listeMarchandises[],3,FALSE)</f>
        <v>Smartphone</v>
      </c>
      <c r="D240">
        <f>VLOOKUP(Table4[[#This Row],[reference]],listeMarchandises[],4,FALSE)</f>
        <v>22</v>
      </c>
      <c r="E240">
        <f>VLOOKUP(Table4[[#This Row],[reference]],listeMarchandises[],6,FALSE)</f>
        <v>174</v>
      </c>
      <c r="F240">
        <f>SUMIF(listeEntrées[Reference],Table4[[#This Row],[reference]],listeEntrées[Quantite])</f>
        <v>188</v>
      </c>
      <c r="G240">
        <f>SUMIF(listeSorties[Reference],Table4[[#This Row],[reference]],listeSorties[Quantite])</f>
        <v>66</v>
      </c>
      <c r="H240">
        <f>Table4[[#This Row],[stock initial]]+Table4[[#This Row],[entrees]]-Table4[[#This Row],[sorties]]</f>
        <v>296</v>
      </c>
      <c r="I240">
        <f>Table4[[#This Row],[stock final]]*(VLOOKUP(Table4[[#This Row],[reference]],listeMarchandises[],7,FALSE))</f>
        <v>463818233.04000002</v>
      </c>
      <c r="J240" t="str">
        <f>IF(Table4[[#This Row],[valeur]]&lt;=Table4[[#This Row],[seuil d''alerte]],"stock faible","stock normal")</f>
        <v>stock normal</v>
      </c>
    </row>
    <row r="241" spans="1:10" x14ac:dyDescent="0.25">
      <c r="A241" t="s">
        <v>491</v>
      </c>
      <c r="B241" t="str">
        <f>VLOOKUP(Table4[[#This Row],[reference]],listeMarchandises[],2,FALSE)</f>
        <v>Groupe 5kVA 055</v>
      </c>
      <c r="C241" t="str">
        <f>VLOOKUP(Table4[[#This Row],[reference]],listeMarchandises[],3,FALSE)</f>
        <v>Groupe electrogene</v>
      </c>
      <c r="D241">
        <f>VLOOKUP(Table4[[#This Row],[reference]],listeMarchandises[],4,FALSE)</f>
        <v>6</v>
      </c>
      <c r="E241">
        <f>VLOOKUP(Table4[[#This Row],[reference]],listeMarchandises[],6,FALSE)</f>
        <v>90</v>
      </c>
      <c r="F241">
        <f>SUMIF(listeEntrées[Reference],Table4[[#This Row],[reference]],listeEntrées[Quantite])</f>
        <v>107</v>
      </c>
      <c r="G241">
        <f>SUMIF(listeSorties[Reference],Table4[[#This Row],[reference]],listeSorties[Quantite])</f>
        <v>66</v>
      </c>
      <c r="H241">
        <f>Table4[[#This Row],[stock initial]]+Table4[[#This Row],[entrees]]-Table4[[#This Row],[sorties]]</f>
        <v>131</v>
      </c>
      <c r="I241">
        <f>Table4[[#This Row],[stock final]]*(VLOOKUP(Table4[[#This Row],[reference]],listeMarchandises[],7,FALSE))</f>
        <v>134178745.13</v>
      </c>
      <c r="J241" t="str">
        <f>IF(Table4[[#This Row],[valeur]]&lt;=Table4[[#This Row],[seuil d''alerte]],"stock faible","stock normal")</f>
        <v>stock normal</v>
      </c>
    </row>
    <row r="242" spans="1:10" x14ac:dyDescent="0.25">
      <c r="A242" t="s">
        <v>493</v>
      </c>
      <c r="B242" t="str">
        <f>VLOOKUP(Table4[[#This Row],[reference]],listeMarchandises[],2,FALSE)</f>
        <v>Clavier arrangeur 059</v>
      </c>
      <c r="C242" t="str">
        <f>VLOOKUP(Table4[[#This Row],[reference]],listeMarchandises[],3,FALSE)</f>
        <v>Instrument de musique</v>
      </c>
      <c r="D242">
        <f>VLOOKUP(Table4[[#This Row],[reference]],listeMarchandises[],4,FALSE)</f>
        <v>24</v>
      </c>
      <c r="E242">
        <f>VLOOKUP(Table4[[#This Row],[reference]],listeMarchandises[],6,FALSE)</f>
        <v>346</v>
      </c>
      <c r="F242">
        <f>SUMIF(listeEntrées[Reference],Table4[[#This Row],[reference]],listeEntrées[Quantite])</f>
        <v>98</v>
      </c>
      <c r="G242">
        <f>SUMIF(listeSorties[Reference],Table4[[#This Row],[reference]],listeSorties[Quantite])</f>
        <v>53</v>
      </c>
      <c r="H242">
        <f>Table4[[#This Row],[stock initial]]+Table4[[#This Row],[entrees]]-Table4[[#This Row],[sorties]]</f>
        <v>391</v>
      </c>
      <c r="I242">
        <f>Table4[[#This Row],[stock final]]*(VLOOKUP(Table4[[#This Row],[reference]],listeMarchandises[],7,FALSE))</f>
        <v>408704358.78999996</v>
      </c>
      <c r="J242" t="str">
        <f>IF(Table4[[#This Row],[valeur]]&lt;=Table4[[#This Row],[seuil d''alerte]],"stock faible","stock normal")</f>
        <v>stock normal</v>
      </c>
    </row>
    <row r="243" spans="1:10" x14ac:dyDescent="0.25">
      <c r="A243" t="s">
        <v>495</v>
      </c>
      <c r="B243" t="str">
        <f>VLOOKUP(Table4[[#This Row],[reference]],listeMarchandises[],2,FALSE)</f>
        <v>Smartphone Alpha 062</v>
      </c>
      <c r="C243" t="str">
        <f>VLOOKUP(Table4[[#This Row],[reference]],listeMarchandises[],3,FALSE)</f>
        <v>Smartphone</v>
      </c>
      <c r="D243">
        <f>VLOOKUP(Table4[[#This Row],[reference]],listeMarchandises[],4,FALSE)</f>
        <v>23</v>
      </c>
      <c r="E243">
        <f>VLOOKUP(Table4[[#This Row],[reference]],listeMarchandises[],6,FALSE)</f>
        <v>124</v>
      </c>
      <c r="F243">
        <f>SUMIF(listeEntrées[Reference],Table4[[#This Row],[reference]],listeEntrées[Quantite])</f>
        <v>37</v>
      </c>
      <c r="G243">
        <f>SUMIF(listeSorties[Reference],Table4[[#This Row],[reference]],listeSorties[Quantite])</f>
        <v>34</v>
      </c>
      <c r="H243">
        <f>Table4[[#This Row],[stock initial]]+Table4[[#This Row],[entrees]]-Table4[[#This Row],[sorties]]</f>
        <v>127</v>
      </c>
      <c r="I243">
        <f>Table4[[#This Row],[stock final]]*(VLOOKUP(Table4[[#This Row],[reference]],listeMarchandises[],7,FALSE))</f>
        <v>43193108.939999998</v>
      </c>
      <c r="J243" t="str">
        <f>IF(Table4[[#This Row],[valeur]]&lt;=Table4[[#This Row],[seuil d''alerte]],"stock faible","stock normal")</f>
        <v>stock normal</v>
      </c>
    </row>
    <row r="244" spans="1:10" x14ac:dyDescent="0.25">
      <c r="A244" t="s">
        <v>497</v>
      </c>
      <c r="B244" t="str">
        <f>VLOOKUP(Table4[[#This Row],[reference]],listeMarchandises[],2,FALSE)</f>
        <v>Groupe silencieux 6kVA 056</v>
      </c>
      <c r="C244" t="str">
        <f>VLOOKUP(Table4[[#This Row],[reference]],listeMarchandises[],3,FALSE)</f>
        <v>Groupe electrogene</v>
      </c>
      <c r="D244">
        <f>VLOOKUP(Table4[[#This Row],[reference]],listeMarchandises[],4,FALSE)</f>
        <v>17</v>
      </c>
      <c r="E244">
        <f>VLOOKUP(Table4[[#This Row],[reference]],listeMarchandises[],6,FALSE)</f>
        <v>47</v>
      </c>
      <c r="F244">
        <f>SUMIF(listeEntrées[Reference],Table4[[#This Row],[reference]],listeEntrées[Quantite])</f>
        <v>36</v>
      </c>
      <c r="G244">
        <f>SUMIF(listeSorties[Reference],Table4[[#This Row],[reference]],listeSorties[Quantite])</f>
        <v>7</v>
      </c>
      <c r="H244">
        <f>Table4[[#This Row],[stock initial]]+Table4[[#This Row],[entrees]]-Table4[[#This Row],[sorties]]</f>
        <v>76</v>
      </c>
      <c r="I244">
        <f>Table4[[#This Row],[stock final]]*(VLOOKUP(Table4[[#This Row],[reference]],listeMarchandises[],7,FALSE))</f>
        <v>37986232.600000001</v>
      </c>
      <c r="J244" t="str">
        <f>IF(Table4[[#This Row],[valeur]]&lt;=Table4[[#This Row],[seuil d''alerte]],"stock faible","stock normal")</f>
        <v>stock normal</v>
      </c>
    </row>
    <row r="245" spans="1:10" x14ac:dyDescent="0.25">
      <c r="A245" t="s">
        <v>499</v>
      </c>
      <c r="B245" t="str">
        <f>VLOOKUP(Table4[[#This Row],[reference]],listeMarchandises[],2,FALSE)</f>
        <v>Smartphone Alpha 063</v>
      </c>
      <c r="C245" t="str">
        <f>VLOOKUP(Table4[[#This Row],[reference]],listeMarchandises[],3,FALSE)</f>
        <v>Smartphone</v>
      </c>
      <c r="D245">
        <f>VLOOKUP(Table4[[#This Row],[reference]],listeMarchandises[],4,FALSE)</f>
        <v>4</v>
      </c>
      <c r="E245">
        <f>VLOOKUP(Table4[[#This Row],[reference]],listeMarchandises[],6,FALSE)</f>
        <v>86</v>
      </c>
      <c r="F245">
        <f>SUMIF(listeEntrées[Reference],Table4[[#This Row],[reference]],listeEntrées[Quantite])</f>
        <v>41</v>
      </c>
      <c r="G245">
        <f>SUMIF(listeSorties[Reference],Table4[[#This Row],[reference]],listeSorties[Quantite])</f>
        <v>0</v>
      </c>
      <c r="H245">
        <f>Table4[[#This Row],[stock initial]]+Table4[[#This Row],[entrees]]-Table4[[#This Row],[sorties]]</f>
        <v>127</v>
      </c>
      <c r="I245">
        <f>Table4[[#This Row],[stock final]]*(VLOOKUP(Table4[[#This Row],[reference]],listeMarchandises[],7,FALSE))</f>
        <v>62823827.869999997</v>
      </c>
      <c r="J245" t="str">
        <f>IF(Table4[[#This Row],[valeur]]&lt;=Table4[[#This Row],[seuil d''alerte]],"stock faible","stock normal")</f>
        <v>stock normal</v>
      </c>
    </row>
    <row r="246" spans="1:10" x14ac:dyDescent="0.25">
      <c r="A246" t="s">
        <v>501</v>
      </c>
      <c r="B246" t="str">
        <f>VLOOKUP(Table4[[#This Row],[reference]],listeMarchandises[],2,FALSE)</f>
        <v>Batterie electronique 060</v>
      </c>
      <c r="C246" t="str">
        <f>VLOOKUP(Table4[[#This Row],[reference]],listeMarchandises[],3,FALSE)</f>
        <v>Instrument de musique</v>
      </c>
      <c r="D246">
        <f>VLOOKUP(Table4[[#This Row],[reference]],listeMarchandises[],4,FALSE)</f>
        <v>16</v>
      </c>
      <c r="E246">
        <f>VLOOKUP(Table4[[#This Row],[reference]],listeMarchandises[],6,FALSE)</f>
        <v>324</v>
      </c>
      <c r="F246">
        <f>SUMIF(listeEntrées[Reference],Table4[[#This Row],[reference]],listeEntrées[Quantite])</f>
        <v>96</v>
      </c>
      <c r="G246">
        <f>SUMIF(listeSorties[Reference],Table4[[#This Row],[reference]],listeSorties[Quantite])</f>
        <v>51</v>
      </c>
      <c r="H246">
        <f>Table4[[#This Row],[stock initial]]+Table4[[#This Row],[entrees]]-Table4[[#This Row],[sorties]]</f>
        <v>369</v>
      </c>
      <c r="I246">
        <f>Table4[[#This Row],[stock final]]*(VLOOKUP(Table4[[#This Row],[reference]],listeMarchandises[],7,FALSE))</f>
        <v>409445488.53000003</v>
      </c>
      <c r="J246" t="str">
        <f>IF(Table4[[#This Row],[valeur]]&lt;=Table4[[#This Row],[seuil d''alerte]],"stock faible","stock normal")</f>
        <v>stock normal</v>
      </c>
    </row>
    <row r="247" spans="1:10" x14ac:dyDescent="0.25">
      <c r="A247" t="s">
        <v>503</v>
      </c>
      <c r="B247" t="str">
        <f>VLOOKUP(Table4[[#This Row],[reference]],listeMarchandises[],2,FALSE)</f>
        <v>Groupe 8kVA 057</v>
      </c>
      <c r="C247" t="str">
        <f>VLOOKUP(Table4[[#This Row],[reference]],listeMarchandises[],3,FALSE)</f>
        <v>Groupe electrogene</v>
      </c>
      <c r="D247">
        <f>VLOOKUP(Table4[[#This Row],[reference]],listeMarchandises[],4,FALSE)</f>
        <v>8</v>
      </c>
      <c r="E247">
        <f>VLOOKUP(Table4[[#This Row],[reference]],listeMarchandises[],6,FALSE)</f>
        <v>164</v>
      </c>
      <c r="F247">
        <f>SUMIF(listeEntrées[Reference],Table4[[#This Row],[reference]],listeEntrées[Quantite])</f>
        <v>31</v>
      </c>
      <c r="G247">
        <f>SUMIF(listeSorties[Reference],Table4[[#This Row],[reference]],listeSorties[Quantite])</f>
        <v>111</v>
      </c>
      <c r="H247">
        <f>Table4[[#This Row],[stock initial]]+Table4[[#This Row],[entrees]]-Table4[[#This Row],[sorties]]</f>
        <v>84</v>
      </c>
      <c r="I247">
        <f>Table4[[#This Row],[stock final]]*(VLOOKUP(Table4[[#This Row],[reference]],listeMarchandises[],7,FALSE))</f>
        <v>220975102.31999999</v>
      </c>
      <c r="J247" t="str">
        <f>IF(Table4[[#This Row],[valeur]]&lt;=Table4[[#This Row],[seuil d''alerte]],"stock faible","stock normal")</f>
        <v>stock normal</v>
      </c>
    </row>
    <row r="248" spans="1:10" x14ac:dyDescent="0.25">
      <c r="A248" t="s">
        <v>505</v>
      </c>
      <c r="B248" t="str">
        <f>VLOOKUP(Table4[[#This Row],[reference]],listeMarchandises[],2,FALSE)</f>
        <v>Climatiseur 067</v>
      </c>
      <c r="C248" t="str">
        <f>VLOOKUP(Table4[[#This Row],[reference]],listeMarchandises[],3,FALSE)</f>
        <v>Electromenager</v>
      </c>
      <c r="D248">
        <f>VLOOKUP(Table4[[#This Row],[reference]],listeMarchandises[],4,FALSE)</f>
        <v>9</v>
      </c>
      <c r="E248">
        <f>VLOOKUP(Table4[[#This Row],[reference]],listeMarchandises[],6,FALSE)</f>
        <v>313</v>
      </c>
      <c r="F248">
        <f>SUMIF(listeEntrées[Reference],Table4[[#This Row],[reference]],listeEntrées[Quantite])</f>
        <v>38</v>
      </c>
      <c r="G248">
        <f>SUMIF(listeSorties[Reference],Table4[[#This Row],[reference]],listeSorties[Quantite])</f>
        <v>96</v>
      </c>
      <c r="H248">
        <f>Table4[[#This Row],[stock initial]]+Table4[[#This Row],[entrees]]-Table4[[#This Row],[sorties]]</f>
        <v>255</v>
      </c>
      <c r="I248">
        <f>Table4[[#This Row],[stock final]]*(VLOOKUP(Table4[[#This Row],[reference]],listeMarchandises[],7,FALSE))</f>
        <v>238640339.84999999</v>
      </c>
      <c r="J248" t="str">
        <f>IF(Table4[[#This Row],[valeur]]&lt;=Table4[[#This Row],[seuil d''alerte]],"stock faible","stock normal")</f>
        <v>stock normal</v>
      </c>
    </row>
    <row r="249" spans="1:10" x14ac:dyDescent="0.25">
      <c r="A249" t="s">
        <v>507</v>
      </c>
      <c r="B249" t="str">
        <f>VLOOKUP(Table4[[#This Row],[reference]],listeMarchandises[],2,FALSE)</f>
        <v>Climatiseur 068</v>
      </c>
      <c r="C249" t="str">
        <f>VLOOKUP(Table4[[#This Row],[reference]],listeMarchandises[],3,FALSE)</f>
        <v>Electromenager</v>
      </c>
      <c r="D249">
        <f>VLOOKUP(Table4[[#This Row],[reference]],listeMarchandises[],4,FALSE)</f>
        <v>13</v>
      </c>
      <c r="E249">
        <f>VLOOKUP(Table4[[#This Row],[reference]],listeMarchandises[],6,FALSE)</f>
        <v>167</v>
      </c>
      <c r="F249">
        <f>SUMIF(listeEntrées[Reference],Table4[[#This Row],[reference]],listeEntrées[Quantite])</f>
        <v>39</v>
      </c>
      <c r="G249">
        <f>SUMIF(listeSorties[Reference],Table4[[#This Row],[reference]],listeSorties[Quantite])</f>
        <v>138</v>
      </c>
      <c r="H249">
        <f>Table4[[#This Row],[stock initial]]+Table4[[#This Row],[entrees]]-Table4[[#This Row],[sorties]]</f>
        <v>68</v>
      </c>
      <c r="I249">
        <f>Table4[[#This Row],[stock final]]*(VLOOKUP(Table4[[#This Row],[reference]],listeMarchandises[],7,FALSE))</f>
        <v>7222160.3200000003</v>
      </c>
      <c r="J249" t="str">
        <f>IF(Table4[[#This Row],[valeur]]&lt;=Table4[[#This Row],[seuil d''alerte]],"stock faible","stock normal")</f>
        <v>stock normal</v>
      </c>
    </row>
    <row r="250" spans="1:10" x14ac:dyDescent="0.25">
      <c r="A250" t="s">
        <v>509</v>
      </c>
      <c r="B250" t="str">
        <f>VLOOKUP(Table4[[#This Row],[reference]],listeMarchandises[],2,FALSE)</f>
        <v>Groupe 2kVA 058</v>
      </c>
      <c r="C250" t="str">
        <f>VLOOKUP(Table4[[#This Row],[reference]],listeMarchandises[],3,FALSE)</f>
        <v>Groupe electrogene</v>
      </c>
      <c r="D250">
        <f>VLOOKUP(Table4[[#This Row],[reference]],listeMarchandises[],4,FALSE)</f>
        <v>5</v>
      </c>
      <c r="E250">
        <f>VLOOKUP(Table4[[#This Row],[reference]],listeMarchandises[],6,FALSE)</f>
        <v>329</v>
      </c>
      <c r="F250">
        <f>SUMIF(listeEntrées[Reference],Table4[[#This Row],[reference]],listeEntrées[Quantite])</f>
        <v>115</v>
      </c>
      <c r="G250">
        <f>SUMIF(listeSorties[Reference],Table4[[#This Row],[reference]],listeSorties[Quantite])</f>
        <v>33</v>
      </c>
      <c r="H250">
        <f>Table4[[#This Row],[stock initial]]+Table4[[#This Row],[entrees]]-Table4[[#This Row],[sorties]]</f>
        <v>411</v>
      </c>
      <c r="I250">
        <f>Table4[[#This Row],[stock final]]*(VLOOKUP(Table4[[#This Row],[reference]],listeMarchandises[],7,FALSE))</f>
        <v>1499584114.6499999</v>
      </c>
      <c r="J250" t="str">
        <f>IF(Table4[[#This Row],[valeur]]&lt;=Table4[[#This Row],[seuil d''alerte]],"stock faible","stock normal")</f>
        <v>stock normal</v>
      </c>
    </row>
    <row r="251" spans="1:10" x14ac:dyDescent="0.25">
      <c r="A251" t="s">
        <v>511</v>
      </c>
      <c r="B251" t="str">
        <f>VLOOKUP(Table4[[#This Row],[reference]],listeMarchandises[],2,FALSE)</f>
        <v>Smartphone Edge 064</v>
      </c>
      <c r="C251" t="str">
        <f>VLOOKUP(Table4[[#This Row],[reference]],listeMarchandises[],3,FALSE)</f>
        <v>Smartphone</v>
      </c>
      <c r="D251">
        <f>VLOOKUP(Table4[[#This Row],[reference]],listeMarchandises[],4,FALSE)</f>
        <v>17</v>
      </c>
      <c r="E251">
        <f>VLOOKUP(Table4[[#This Row],[reference]],listeMarchandises[],6,FALSE)</f>
        <v>90</v>
      </c>
      <c r="F251">
        <f>SUMIF(listeEntrées[Reference],Table4[[#This Row],[reference]],listeEntrées[Quantite])</f>
        <v>172</v>
      </c>
      <c r="G251">
        <f>SUMIF(listeSorties[Reference],Table4[[#This Row],[reference]],listeSorties[Quantite])</f>
        <v>0</v>
      </c>
      <c r="H251">
        <f>Table4[[#This Row],[stock initial]]+Table4[[#This Row],[entrees]]-Table4[[#This Row],[sorties]]</f>
        <v>262</v>
      </c>
      <c r="I251">
        <f>Table4[[#This Row],[stock final]]*(VLOOKUP(Table4[[#This Row],[reference]],listeMarchandises[],7,FALSE))</f>
        <v>131724820.38</v>
      </c>
      <c r="J251" t="str">
        <f>IF(Table4[[#This Row],[valeur]]&lt;=Table4[[#This Row],[seuil d''alerte]],"stock faible","stock normal")</f>
        <v>stock normal</v>
      </c>
    </row>
    <row r="252" spans="1:10" x14ac:dyDescent="0.25">
      <c r="A252" t="s">
        <v>513</v>
      </c>
      <c r="B252" t="str">
        <f>VLOOKUP(Table4[[#This Row],[reference]],listeMarchandises[],2,FALSE)</f>
        <v>Groupe 2kVA 059</v>
      </c>
      <c r="C252" t="str">
        <f>VLOOKUP(Table4[[#This Row],[reference]],listeMarchandises[],3,FALSE)</f>
        <v>Groupe electrogene</v>
      </c>
      <c r="D252">
        <f>VLOOKUP(Table4[[#This Row],[reference]],listeMarchandises[],4,FALSE)</f>
        <v>23</v>
      </c>
      <c r="E252">
        <f>VLOOKUP(Table4[[#This Row],[reference]],listeMarchandises[],6,FALSE)</f>
        <v>251</v>
      </c>
      <c r="F252">
        <f>SUMIF(listeEntrées[Reference],Table4[[#This Row],[reference]],listeEntrées[Quantite])</f>
        <v>41</v>
      </c>
      <c r="G252">
        <f>SUMIF(listeSorties[Reference],Table4[[#This Row],[reference]],listeSorties[Quantite])</f>
        <v>4</v>
      </c>
      <c r="H252">
        <f>Table4[[#This Row],[stock initial]]+Table4[[#This Row],[entrees]]-Table4[[#This Row],[sorties]]</f>
        <v>288</v>
      </c>
      <c r="I252">
        <f>Table4[[#This Row],[stock final]]*(VLOOKUP(Table4[[#This Row],[reference]],listeMarchandises[],7,FALSE))</f>
        <v>705307170.24000001</v>
      </c>
      <c r="J252" t="str">
        <f>IF(Table4[[#This Row],[valeur]]&lt;=Table4[[#This Row],[seuil d''alerte]],"stock faible","stock normal")</f>
        <v>stock normal</v>
      </c>
    </row>
    <row r="253" spans="1:10" x14ac:dyDescent="0.25">
      <c r="A253" t="s">
        <v>515</v>
      </c>
      <c r="B253" t="str">
        <f>VLOOKUP(Table4[[#This Row],[reference]],listeMarchandises[],2,FALSE)</f>
        <v>Violon etude 061</v>
      </c>
      <c r="C253" t="str">
        <f>VLOOKUP(Table4[[#This Row],[reference]],listeMarchandises[],3,FALSE)</f>
        <v>Instrument de musique</v>
      </c>
      <c r="D253">
        <f>VLOOKUP(Table4[[#This Row],[reference]],listeMarchandises[],4,FALSE)</f>
        <v>10</v>
      </c>
      <c r="E253">
        <f>VLOOKUP(Table4[[#This Row],[reference]],listeMarchandises[],6,FALSE)</f>
        <v>357</v>
      </c>
      <c r="F253">
        <f>SUMIF(listeEntrées[Reference],Table4[[#This Row],[reference]],listeEntrées[Quantite])</f>
        <v>105</v>
      </c>
      <c r="G253">
        <f>SUMIF(listeSorties[Reference],Table4[[#This Row],[reference]],listeSorties[Quantite])</f>
        <v>0</v>
      </c>
      <c r="H253">
        <f>Table4[[#This Row],[stock initial]]+Table4[[#This Row],[entrees]]-Table4[[#This Row],[sorties]]</f>
        <v>462</v>
      </c>
      <c r="I253">
        <f>Table4[[#This Row],[stock final]]*(VLOOKUP(Table4[[#This Row],[reference]],listeMarchandises[],7,FALSE))</f>
        <v>153490537.19999999</v>
      </c>
      <c r="J253" t="str">
        <f>IF(Table4[[#This Row],[valeur]]&lt;=Table4[[#This Row],[seuil d''alerte]],"stock faible","stock normal")</f>
        <v>stock normal</v>
      </c>
    </row>
    <row r="254" spans="1:10" x14ac:dyDescent="0.25">
      <c r="A254" t="s">
        <v>517</v>
      </c>
      <c r="B254" t="str">
        <f>VLOOKUP(Table4[[#This Row],[reference]],listeMarchandises[],2,FALSE)</f>
        <v>Groupe 12kVA 060</v>
      </c>
      <c r="C254" t="str">
        <f>VLOOKUP(Table4[[#This Row],[reference]],listeMarchandises[],3,FALSE)</f>
        <v>Groupe electrogene</v>
      </c>
      <c r="D254">
        <f>VLOOKUP(Table4[[#This Row],[reference]],listeMarchandises[],4,FALSE)</f>
        <v>18</v>
      </c>
      <c r="E254">
        <f>VLOOKUP(Table4[[#This Row],[reference]],listeMarchandises[],6,FALSE)</f>
        <v>153</v>
      </c>
      <c r="F254">
        <f>SUMIF(listeEntrées[Reference],Table4[[#This Row],[reference]],listeEntrées[Quantite])</f>
        <v>153</v>
      </c>
      <c r="G254">
        <f>SUMIF(listeSorties[Reference],Table4[[#This Row],[reference]],listeSorties[Quantite])</f>
        <v>181</v>
      </c>
      <c r="H254">
        <f>Table4[[#This Row],[stock initial]]+Table4[[#This Row],[entrees]]-Table4[[#This Row],[sorties]]</f>
        <v>125</v>
      </c>
      <c r="I254">
        <f>Table4[[#This Row],[stock final]]*(VLOOKUP(Table4[[#This Row],[reference]],listeMarchandises[],7,FALSE))</f>
        <v>318825553.75</v>
      </c>
      <c r="J254" t="str">
        <f>IF(Table4[[#This Row],[valeur]]&lt;=Table4[[#This Row],[seuil d''alerte]],"stock faible","stock normal")</f>
        <v>stock normal</v>
      </c>
    </row>
    <row r="255" spans="1:10" x14ac:dyDescent="0.25">
      <c r="A255" t="s">
        <v>519</v>
      </c>
      <c r="B255" t="str">
        <f>VLOOKUP(Table4[[#This Row],[reference]],listeMarchandises[],2,FALSE)</f>
        <v>Smartphone Ultra 065</v>
      </c>
      <c r="C255" t="str">
        <f>VLOOKUP(Table4[[#This Row],[reference]],listeMarchandises[],3,FALSE)</f>
        <v>Smartphone</v>
      </c>
      <c r="D255">
        <f>VLOOKUP(Table4[[#This Row],[reference]],listeMarchandises[],4,FALSE)</f>
        <v>8</v>
      </c>
      <c r="E255">
        <f>VLOOKUP(Table4[[#This Row],[reference]],listeMarchandises[],6,FALSE)</f>
        <v>319</v>
      </c>
      <c r="F255">
        <f>SUMIF(listeEntrées[Reference],Table4[[#This Row],[reference]],listeEntrées[Quantite])</f>
        <v>195</v>
      </c>
      <c r="G255">
        <f>SUMIF(listeSorties[Reference],Table4[[#This Row],[reference]],listeSorties[Quantite])</f>
        <v>32</v>
      </c>
      <c r="H255">
        <f>Table4[[#This Row],[stock initial]]+Table4[[#This Row],[entrees]]-Table4[[#This Row],[sorties]]</f>
        <v>482</v>
      </c>
      <c r="I255">
        <f>Table4[[#This Row],[stock final]]*(VLOOKUP(Table4[[#This Row],[reference]],listeMarchandises[],7,FALSE))</f>
        <v>138585295.51999998</v>
      </c>
      <c r="J255" t="str">
        <f>IF(Table4[[#This Row],[valeur]]&lt;=Table4[[#This Row],[seuil d''alerte]],"stock faible","stock normal")</f>
        <v>stock normal</v>
      </c>
    </row>
    <row r="256" spans="1:10" x14ac:dyDescent="0.25">
      <c r="A256" t="s">
        <v>521</v>
      </c>
      <c r="B256" t="str">
        <f>VLOOKUP(Table4[[#This Row],[reference]],listeMarchandises[],2,FALSE)</f>
        <v>Smartphone Prime 066</v>
      </c>
      <c r="C256" t="str">
        <f>VLOOKUP(Table4[[#This Row],[reference]],listeMarchandises[],3,FALSE)</f>
        <v>Smartphone</v>
      </c>
      <c r="D256">
        <f>VLOOKUP(Table4[[#This Row],[reference]],listeMarchandises[],4,FALSE)</f>
        <v>20</v>
      </c>
      <c r="E256">
        <f>VLOOKUP(Table4[[#This Row],[reference]],listeMarchandises[],6,FALSE)</f>
        <v>251</v>
      </c>
      <c r="F256">
        <f>SUMIF(listeEntrées[Reference],Table4[[#This Row],[reference]],listeEntrées[Quantite])</f>
        <v>77</v>
      </c>
      <c r="G256">
        <f>SUMIF(listeSorties[Reference],Table4[[#This Row],[reference]],listeSorties[Quantite])</f>
        <v>23</v>
      </c>
      <c r="H256">
        <f>Table4[[#This Row],[stock initial]]+Table4[[#This Row],[entrees]]-Table4[[#This Row],[sorties]]</f>
        <v>305</v>
      </c>
      <c r="I256">
        <f>Table4[[#This Row],[stock final]]*(VLOOKUP(Table4[[#This Row],[reference]],listeMarchandises[],7,FALSE))</f>
        <v>129566333.25</v>
      </c>
      <c r="J256" t="str">
        <f>IF(Table4[[#This Row],[valeur]]&lt;=Table4[[#This Row],[seuil d''alerte]],"stock faible","stock normal")</f>
        <v>stock normal</v>
      </c>
    </row>
    <row r="257" spans="1:10" x14ac:dyDescent="0.25">
      <c r="A257" t="s">
        <v>523</v>
      </c>
      <c r="B257" t="str">
        <f>VLOOKUP(Table4[[#This Row],[reference]],listeMarchandises[],2,FALSE)</f>
        <v>Lave-linge 069</v>
      </c>
      <c r="C257" t="str">
        <f>VLOOKUP(Table4[[#This Row],[reference]],listeMarchandises[],3,FALSE)</f>
        <v>Electromenager</v>
      </c>
      <c r="D257">
        <f>VLOOKUP(Table4[[#This Row],[reference]],listeMarchandises[],4,FALSE)</f>
        <v>7</v>
      </c>
      <c r="E257">
        <f>VLOOKUP(Table4[[#This Row],[reference]],listeMarchandises[],6,FALSE)</f>
        <v>321</v>
      </c>
      <c r="F257">
        <f>SUMIF(listeEntrées[Reference],Table4[[#This Row],[reference]],listeEntrées[Quantite])</f>
        <v>120</v>
      </c>
      <c r="G257">
        <f>SUMIF(listeSorties[Reference],Table4[[#This Row],[reference]],listeSorties[Quantite])</f>
        <v>0</v>
      </c>
      <c r="H257">
        <f>Table4[[#This Row],[stock initial]]+Table4[[#This Row],[entrees]]-Table4[[#This Row],[sorties]]</f>
        <v>441</v>
      </c>
      <c r="I257">
        <f>Table4[[#This Row],[stock final]]*(VLOOKUP(Table4[[#This Row],[reference]],listeMarchandises[],7,FALSE))</f>
        <v>385744433.13</v>
      </c>
      <c r="J257" t="str">
        <f>IF(Table4[[#This Row],[valeur]]&lt;=Table4[[#This Row],[seuil d''alerte]],"stock faible","stock normal")</f>
        <v>stock normal</v>
      </c>
    </row>
    <row r="258" spans="1:10" x14ac:dyDescent="0.25">
      <c r="A258" t="s">
        <v>525</v>
      </c>
      <c r="B258" t="str">
        <f>VLOOKUP(Table4[[#This Row],[reference]],listeMarchandises[],2,FALSE)</f>
        <v>Smartphone Ultra 067</v>
      </c>
      <c r="C258" t="str">
        <f>VLOOKUP(Table4[[#This Row],[reference]],listeMarchandises[],3,FALSE)</f>
        <v>Smartphone</v>
      </c>
      <c r="D258">
        <f>VLOOKUP(Table4[[#This Row],[reference]],listeMarchandises[],4,FALSE)</f>
        <v>17</v>
      </c>
      <c r="E258">
        <f>VLOOKUP(Table4[[#This Row],[reference]],listeMarchandises[],6,FALSE)</f>
        <v>29</v>
      </c>
      <c r="F258">
        <f>SUMIF(listeEntrées[Reference],Table4[[#This Row],[reference]],listeEntrées[Quantite])</f>
        <v>7</v>
      </c>
      <c r="G258">
        <f>SUMIF(listeSorties[Reference],Table4[[#This Row],[reference]],listeSorties[Quantite])</f>
        <v>273</v>
      </c>
      <c r="H258">
        <f>Table4[[#This Row],[stock initial]]+Table4[[#This Row],[entrees]]-Table4[[#This Row],[sorties]]</f>
        <v>-237</v>
      </c>
      <c r="I258">
        <f>Table4[[#This Row],[stock final]]*(VLOOKUP(Table4[[#This Row],[reference]],listeMarchandises[],7,FALSE))</f>
        <v>-353674128.29999995</v>
      </c>
      <c r="J258" t="str">
        <f>IF(Table4[[#This Row],[valeur]]&lt;=Table4[[#This Row],[seuil d''alerte]],"stock faible","stock normal")</f>
        <v>stock faible</v>
      </c>
    </row>
    <row r="259" spans="1:10" x14ac:dyDescent="0.25">
      <c r="A259" t="s">
        <v>527</v>
      </c>
      <c r="B259" t="str">
        <f>VLOOKUP(Table4[[#This Row],[reference]],listeMarchandises[],2,FALSE)</f>
        <v>Micro-ondes 070</v>
      </c>
      <c r="C259" t="str">
        <f>VLOOKUP(Table4[[#This Row],[reference]],listeMarchandises[],3,FALSE)</f>
        <v>Electromenager</v>
      </c>
      <c r="D259">
        <f>VLOOKUP(Table4[[#This Row],[reference]],listeMarchandises[],4,FALSE)</f>
        <v>17</v>
      </c>
      <c r="E259">
        <f>VLOOKUP(Table4[[#This Row],[reference]],listeMarchandises[],6,FALSE)</f>
        <v>97</v>
      </c>
      <c r="F259">
        <f>SUMIF(listeEntrées[Reference],Table4[[#This Row],[reference]],listeEntrées[Quantite])</f>
        <v>214</v>
      </c>
      <c r="G259">
        <f>SUMIF(listeSorties[Reference],Table4[[#This Row],[reference]],listeSorties[Quantite])</f>
        <v>86</v>
      </c>
      <c r="H259">
        <f>Table4[[#This Row],[stock initial]]+Table4[[#This Row],[entrees]]-Table4[[#This Row],[sorties]]</f>
        <v>225</v>
      </c>
      <c r="I259">
        <f>Table4[[#This Row],[stock final]]*(VLOOKUP(Table4[[#This Row],[reference]],listeMarchandises[],7,FALSE))</f>
        <v>163686129.75</v>
      </c>
      <c r="J259" t="str">
        <f>IF(Table4[[#This Row],[valeur]]&lt;=Table4[[#This Row],[seuil d''alerte]],"stock faible","stock normal")</f>
        <v>stock normal</v>
      </c>
    </row>
    <row r="260" spans="1:10" x14ac:dyDescent="0.25">
      <c r="A260" t="s">
        <v>529</v>
      </c>
      <c r="B260" t="str">
        <f>VLOOKUP(Table4[[#This Row],[reference]],listeMarchandises[],2,FALSE)</f>
        <v>Lave-linge 071</v>
      </c>
      <c r="C260" t="str">
        <f>VLOOKUP(Table4[[#This Row],[reference]],listeMarchandises[],3,FALSE)</f>
        <v>Electromenager</v>
      </c>
      <c r="D260">
        <f>VLOOKUP(Table4[[#This Row],[reference]],listeMarchandises[],4,FALSE)</f>
        <v>15</v>
      </c>
      <c r="E260">
        <f>VLOOKUP(Table4[[#This Row],[reference]],listeMarchandises[],6,FALSE)</f>
        <v>79</v>
      </c>
      <c r="F260">
        <f>SUMIF(listeEntrées[Reference],Table4[[#This Row],[reference]],listeEntrées[Quantite])</f>
        <v>150</v>
      </c>
      <c r="G260">
        <f>SUMIF(listeSorties[Reference],Table4[[#This Row],[reference]],listeSorties[Quantite])</f>
        <v>124</v>
      </c>
      <c r="H260">
        <f>Table4[[#This Row],[stock initial]]+Table4[[#This Row],[entrees]]-Table4[[#This Row],[sorties]]</f>
        <v>105</v>
      </c>
      <c r="I260">
        <f>Table4[[#This Row],[stock final]]*(VLOOKUP(Table4[[#This Row],[reference]],listeMarchandises[],7,FALSE))</f>
        <v>27015244.199999999</v>
      </c>
      <c r="J260" t="str">
        <f>IF(Table4[[#This Row],[valeur]]&lt;=Table4[[#This Row],[seuil d''alerte]],"stock faible","stock normal")</f>
        <v>stock normal</v>
      </c>
    </row>
    <row r="261" spans="1:10" x14ac:dyDescent="0.25">
      <c r="A261" t="s">
        <v>531</v>
      </c>
      <c r="B261" t="str">
        <f>VLOOKUP(Table4[[#This Row],[reference]],listeMarchandises[],2,FALSE)</f>
        <v>Micro-ondes 072</v>
      </c>
      <c r="C261" t="str">
        <f>VLOOKUP(Table4[[#This Row],[reference]],listeMarchandises[],3,FALSE)</f>
        <v>Electromenager</v>
      </c>
      <c r="D261">
        <f>VLOOKUP(Table4[[#This Row],[reference]],listeMarchandises[],4,FALSE)</f>
        <v>13</v>
      </c>
      <c r="E261">
        <f>VLOOKUP(Table4[[#This Row],[reference]],listeMarchandises[],6,FALSE)</f>
        <v>300</v>
      </c>
      <c r="F261">
        <f>SUMIF(listeEntrées[Reference],Table4[[#This Row],[reference]],listeEntrées[Quantite])</f>
        <v>89</v>
      </c>
      <c r="G261">
        <f>SUMIF(listeSorties[Reference],Table4[[#This Row],[reference]],listeSorties[Quantite])</f>
        <v>199</v>
      </c>
      <c r="H261">
        <f>Table4[[#This Row],[stock initial]]+Table4[[#This Row],[entrees]]-Table4[[#This Row],[sorties]]</f>
        <v>190</v>
      </c>
      <c r="I261">
        <f>Table4[[#This Row],[stock final]]*(VLOOKUP(Table4[[#This Row],[reference]],listeMarchandises[],7,FALSE))</f>
        <v>90246158.200000003</v>
      </c>
      <c r="J261" t="str">
        <f>IF(Table4[[#This Row],[valeur]]&lt;=Table4[[#This Row],[seuil d''alerte]],"stock faible","stock normal")</f>
        <v>stock normal</v>
      </c>
    </row>
    <row r="262" spans="1:10" x14ac:dyDescent="0.25">
      <c r="A262" t="s">
        <v>533</v>
      </c>
      <c r="B262" t="str">
        <f>VLOOKUP(Table4[[#This Row],[reference]],listeMarchandises[],2,FALSE)</f>
        <v>Groupe 12kVA 061</v>
      </c>
      <c r="C262" t="str">
        <f>VLOOKUP(Table4[[#This Row],[reference]],listeMarchandises[],3,FALSE)</f>
        <v>Groupe electrogene</v>
      </c>
      <c r="D262">
        <f>VLOOKUP(Table4[[#This Row],[reference]],listeMarchandises[],4,FALSE)</f>
        <v>13</v>
      </c>
      <c r="E262">
        <f>VLOOKUP(Table4[[#This Row],[reference]],listeMarchandises[],6,FALSE)</f>
        <v>194</v>
      </c>
      <c r="F262">
        <f>SUMIF(listeEntrées[Reference],Table4[[#This Row],[reference]],listeEntrées[Quantite])</f>
        <v>0</v>
      </c>
      <c r="G262">
        <f>SUMIF(listeSorties[Reference],Table4[[#This Row],[reference]],listeSorties[Quantite])</f>
        <v>143</v>
      </c>
      <c r="H262">
        <f>Table4[[#This Row],[stock initial]]+Table4[[#This Row],[entrees]]-Table4[[#This Row],[sorties]]</f>
        <v>51</v>
      </c>
      <c r="I262">
        <f>Table4[[#This Row],[stock final]]*(VLOOKUP(Table4[[#This Row],[reference]],listeMarchandises[],7,FALSE))</f>
        <v>81954233.760000005</v>
      </c>
      <c r="J262" t="str">
        <f>IF(Table4[[#This Row],[valeur]]&lt;=Table4[[#This Row],[seuil d''alerte]],"stock faible","stock normal")</f>
        <v>stock normal</v>
      </c>
    </row>
    <row r="263" spans="1:10" x14ac:dyDescent="0.25">
      <c r="A263" t="s">
        <v>535</v>
      </c>
      <c r="B263" t="str">
        <f>VLOOKUP(Table4[[#This Row],[reference]],listeMarchandises[],2,FALSE)</f>
        <v>Groupe 5kVA 062</v>
      </c>
      <c r="C263" t="str">
        <f>VLOOKUP(Table4[[#This Row],[reference]],listeMarchandises[],3,FALSE)</f>
        <v>Groupe electrogene</v>
      </c>
      <c r="D263">
        <f>VLOOKUP(Table4[[#This Row],[reference]],listeMarchandises[],4,FALSE)</f>
        <v>10</v>
      </c>
      <c r="E263">
        <f>VLOOKUP(Table4[[#This Row],[reference]],listeMarchandises[],6,FALSE)</f>
        <v>163</v>
      </c>
      <c r="F263">
        <f>SUMIF(listeEntrées[Reference],Table4[[#This Row],[reference]],listeEntrées[Quantite])</f>
        <v>110</v>
      </c>
      <c r="G263">
        <f>SUMIF(listeSorties[Reference],Table4[[#This Row],[reference]],listeSorties[Quantite])</f>
        <v>76</v>
      </c>
      <c r="H263">
        <f>Table4[[#This Row],[stock initial]]+Table4[[#This Row],[entrees]]-Table4[[#This Row],[sorties]]</f>
        <v>197</v>
      </c>
      <c r="I263">
        <f>Table4[[#This Row],[stock final]]*(VLOOKUP(Table4[[#This Row],[reference]],listeMarchandises[],7,FALSE))</f>
        <v>260815064.98000002</v>
      </c>
      <c r="J263" t="str">
        <f>IF(Table4[[#This Row],[valeur]]&lt;=Table4[[#This Row],[seuil d''alerte]],"stock faible","stock normal")</f>
        <v>stock normal</v>
      </c>
    </row>
    <row r="264" spans="1:10" x14ac:dyDescent="0.25">
      <c r="A264" t="s">
        <v>537</v>
      </c>
      <c r="B264" t="str">
        <f>VLOOKUP(Table4[[#This Row],[reference]],listeMarchandises[],2,FALSE)</f>
        <v>Congelateur 073</v>
      </c>
      <c r="C264" t="str">
        <f>VLOOKUP(Table4[[#This Row],[reference]],listeMarchandises[],3,FALSE)</f>
        <v>Electromenager</v>
      </c>
      <c r="D264">
        <f>VLOOKUP(Table4[[#This Row],[reference]],listeMarchandises[],4,FALSE)</f>
        <v>4</v>
      </c>
      <c r="E264">
        <f>VLOOKUP(Table4[[#This Row],[reference]],listeMarchandises[],6,FALSE)</f>
        <v>136</v>
      </c>
      <c r="F264">
        <f>SUMIF(listeEntrées[Reference],Table4[[#This Row],[reference]],listeEntrées[Quantite])</f>
        <v>0</v>
      </c>
      <c r="G264">
        <f>SUMIF(listeSorties[Reference],Table4[[#This Row],[reference]],listeSorties[Quantite])</f>
        <v>77</v>
      </c>
      <c r="H264">
        <f>Table4[[#This Row],[stock initial]]+Table4[[#This Row],[entrees]]-Table4[[#This Row],[sorties]]</f>
        <v>59</v>
      </c>
      <c r="I264">
        <f>Table4[[#This Row],[stock final]]*(VLOOKUP(Table4[[#This Row],[reference]],listeMarchandises[],7,FALSE))</f>
        <v>12534625.52</v>
      </c>
      <c r="J264" t="str">
        <f>IF(Table4[[#This Row],[valeur]]&lt;=Table4[[#This Row],[seuil d''alerte]],"stock faible","stock normal")</f>
        <v>stock normal</v>
      </c>
    </row>
    <row r="265" spans="1:10" x14ac:dyDescent="0.25">
      <c r="A265" t="s">
        <v>539</v>
      </c>
      <c r="B265" t="str">
        <f>VLOOKUP(Table4[[#This Row],[reference]],listeMarchandises[],2,FALSE)</f>
        <v>Smartphone Alpha 068</v>
      </c>
      <c r="C265" t="str">
        <f>VLOOKUP(Table4[[#This Row],[reference]],listeMarchandises[],3,FALSE)</f>
        <v>Smartphone</v>
      </c>
      <c r="D265">
        <f>VLOOKUP(Table4[[#This Row],[reference]],listeMarchandises[],4,FALSE)</f>
        <v>24</v>
      </c>
      <c r="E265">
        <f>VLOOKUP(Table4[[#This Row],[reference]],listeMarchandises[],6,FALSE)</f>
        <v>227</v>
      </c>
      <c r="F265">
        <f>SUMIF(listeEntrées[Reference],Table4[[#This Row],[reference]],listeEntrées[Quantite])</f>
        <v>0</v>
      </c>
      <c r="G265">
        <f>SUMIF(listeSorties[Reference],Table4[[#This Row],[reference]],listeSorties[Quantite])</f>
        <v>64</v>
      </c>
      <c r="H265">
        <f>Table4[[#This Row],[stock initial]]+Table4[[#This Row],[entrees]]-Table4[[#This Row],[sorties]]</f>
        <v>163</v>
      </c>
      <c r="I265">
        <f>Table4[[#This Row],[stock final]]*(VLOOKUP(Table4[[#This Row],[reference]],listeMarchandises[],7,FALSE))</f>
        <v>172701192.75999999</v>
      </c>
      <c r="J265" t="str">
        <f>IF(Table4[[#This Row],[valeur]]&lt;=Table4[[#This Row],[seuil d''alerte]],"stock faible","stock normal")</f>
        <v>stock normal</v>
      </c>
    </row>
    <row r="266" spans="1:10" x14ac:dyDescent="0.25">
      <c r="A266" t="s">
        <v>541</v>
      </c>
      <c r="B266" t="str">
        <f>VLOOKUP(Table4[[#This Row],[reference]],listeMarchandises[],2,FALSE)</f>
        <v>Smartphone Lite 069</v>
      </c>
      <c r="C266" t="str">
        <f>VLOOKUP(Table4[[#This Row],[reference]],listeMarchandises[],3,FALSE)</f>
        <v>Smartphone</v>
      </c>
      <c r="D266">
        <f>VLOOKUP(Table4[[#This Row],[reference]],listeMarchandises[],4,FALSE)</f>
        <v>19</v>
      </c>
      <c r="E266">
        <f>VLOOKUP(Table4[[#This Row],[reference]],listeMarchandises[],6,FALSE)</f>
        <v>297</v>
      </c>
      <c r="F266">
        <f>SUMIF(listeEntrées[Reference],Table4[[#This Row],[reference]],listeEntrées[Quantite])</f>
        <v>136</v>
      </c>
      <c r="G266">
        <f>SUMIF(listeSorties[Reference],Table4[[#This Row],[reference]],listeSorties[Quantite])</f>
        <v>83</v>
      </c>
      <c r="H266">
        <f>Table4[[#This Row],[stock initial]]+Table4[[#This Row],[entrees]]-Table4[[#This Row],[sorties]]</f>
        <v>350</v>
      </c>
      <c r="I266">
        <f>Table4[[#This Row],[stock final]]*(VLOOKUP(Table4[[#This Row],[reference]],listeMarchandises[],7,FALSE))</f>
        <v>83252218</v>
      </c>
      <c r="J266" t="str">
        <f>IF(Table4[[#This Row],[valeur]]&lt;=Table4[[#This Row],[seuil d''alerte]],"stock faible","stock normal")</f>
        <v>stock normal</v>
      </c>
    </row>
    <row r="267" spans="1:10" x14ac:dyDescent="0.25">
      <c r="A267" t="s">
        <v>543</v>
      </c>
      <c r="B267" t="str">
        <f>VLOOKUP(Table4[[#This Row],[reference]],listeMarchandises[],2,FALSE)</f>
        <v>Smartphone Prime 070</v>
      </c>
      <c r="C267" t="str">
        <f>VLOOKUP(Table4[[#This Row],[reference]],listeMarchandises[],3,FALSE)</f>
        <v>Smartphone</v>
      </c>
      <c r="D267">
        <f>VLOOKUP(Table4[[#This Row],[reference]],listeMarchandises[],4,FALSE)</f>
        <v>6</v>
      </c>
      <c r="E267">
        <f>VLOOKUP(Table4[[#This Row],[reference]],listeMarchandises[],6,FALSE)</f>
        <v>278</v>
      </c>
      <c r="F267">
        <f>SUMIF(listeEntrées[Reference],Table4[[#This Row],[reference]],listeEntrées[Quantite])</f>
        <v>118</v>
      </c>
      <c r="G267">
        <f>SUMIF(listeSorties[Reference],Table4[[#This Row],[reference]],listeSorties[Quantite])</f>
        <v>23</v>
      </c>
      <c r="H267">
        <f>Table4[[#This Row],[stock initial]]+Table4[[#This Row],[entrees]]-Table4[[#This Row],[sorties]]</f>
        <v>373</v>
      </c>
      <c r="I267">
        <f>Table4[[#This Row],[stock final]]*(VLOOKUP(Table4[[#This Row],[reference]],listeMarchandises[],7,FALSE))</f>
        <v>468170476.29000002</v>
      </c>
      <c r="J267" t="str">
        <f>IF(Table4[[#This Row],[valeur]]&lt;=Table4[[#This Row],[seuil d''alerte]],"stock faible","stock normal")</f>
        <v>stock normal</v>
      </c>
    </row>
    <row r="268" spans="1:10" x14ac:dyDescent="0.25">
      <c r="A268" t="s">
        <v>545</v>
      </c>
      <c r="B268" t="str">
        <f>VLOOKUP(Table4[[#This Row],[reference]],listeMarchandises[],2,FALSE)</f>
        <v>Clavier arrangeur 062</v>
      </c>
      <c r="C268" t="str">
        <f>VLOOKUP(Table4[[#This Row],[reference]],listeMarchandises[],3,FALSE)</f>
        <v>Instrument de musique</v>
      </c>
      <c r="D268">
        <f>VLOOKUP(Table4[[#This Row],[reference]],listeMarchandises[],4,FALSE)</f>
        <v>7</v>
      </c>
      <c r="E268">
        <f>VLOOKUP(Table4[[#This Row],[reference]],listeMarchandises[],6,FALSE)</f>
        <v>143</v>
      </c>
      <c r="F268">
        <f>SUMIF(listeEntrées[Reference],Table4[[#This Row],[reference]],listeEntrées[Quantite])</f>
        <v>0</v>
      </c>
      <c r="G268">
        <f>SUMIF(listeSorties[Reference],Table4[[#This Row],[reference]],listeSorties[Quantite])</f>
        <v>271</v>
      </c>
      <c r="H268">
        <f>Table4[[#This Row],[stock initial]]+Table4[[#This Row],[entrees]]-Table4[[#This Row],[sorties]]</f>
        <v>-128</v>
      </c>
      <c r="I268">
        <f>Table4[[#This Row],[stock final]]*(VLOOKUP(Table4[[#This Row],[reference]],listeMarchandises[],7,FALSE))</f>
        <v>-17665135.359999999</v>
      </c>
      <c r="J268" t="str">
        <f>IF(Table4[[#This Row],[valeur]]&lt;=Table4[[#This Row],[seuil d''alerte]],"stock faible","stock normal")</f>
        <v>stock faible</v>
      </c>
    </row>
    <row r="269" spans="1:10" x14ac:dyDescent="0.25">
      <c r="A269" t="s">
        <v>547</v>
      </c>
      <c r="B269" t="str">
        <f>VLOOKUP(Table4[[#This Row],[reference]],listeMarchandises[],2,FALSE)</f>
        <v>Batterie electronique 063</v>
      </c>
      <c r="C269" t="str">
        <f>VLOOKUP(Table4[[#This Row],[reference]],listeMarchandises[],3,FALSE)</f>
        <v>Instrument de musique</v>
      </c>
      <c r="D269">
        <f>VLOOKUP(Table4[[#This Row],[reference]],listeMarchandises[],4,FALSE)</f>
        <v>12</v>
      </c>
      <c r="E269">
        <f>VLOOKUP(Table4[[#This Row],[reference]],listeMarchandises[],6,FALSE)</f>
        <v>304</v>
      </c>
      <c r="F269">
        <f>SUMIF(listeEntrées[Reference],Table4[[#This Row],[reference]],listeEntrées[Quantite])</f>
        <v>12</v>
      </c>
      <c r="G269">
        <f>SUMIF(listeSorties[Reference],Table4[[#This Row],[reference]],listeSorties[Quantite])</f>
        <v>51</v>
      </c>
      <c r="H269">
        <f>Table4[[#This Row],[stock initial]]+Table4[[#This Row],[entrees]]-Table4[[#This Row],[sorties]]</f>
        <v>265</v>
      </c>
      <c r="I269">
        <f>Table4[[#This Row],[stock final]]*(VLOOKUP(Table4[[#This Row],[reference]],listeMarchandises[],7,FALSE))</f>
        <v>137455934.59999999</v>
      </c>
      <c r="J269" t="str">
        <f>IF(Table4[[#This Row],[valeur]]&lt;=Table4[[#This Row],[seuil d''alerte]],"stock faible","stock normal")</f>
        <v>stock normal</v>
      </c>
    </row>
    <row r="270" spans="1:10" x14ac:dyDescent="0.25">
      <c r="A270" t="s">
        <v>549</v>
      </c>
      <c r="B270" t="str">
        <f>VLOOKUP(Table4[[#This Row],[reference]],listeMarchandises[],2,FALSE)</f>
        <v>Smartphone Ultra 071</v>
      </c>
      <c r="C270" t="str">
        <f>VLOOKUP(Table4[[#This Row],[reference]],listeMarchandises[],3,FALSE)</f>
        <v>Smartphone</v>
      </c>
      <c r="D270">
        <f>VLOOKUP(Table4[[#This Row],[reference]],listeMarchandises[],4,FALSE)</f>
        <v>19</v>
      </c>
      <c r="E270">
        <f>VLOOKUP(Table4[[#This Row],[reference]],listeMarchandises[],6,FALSE)</f>
        <v>121</v>
      </c>
      <c r="F270">
        <f>SUMIF(listeEntrées[Reference],Table4[[#This Row],[reference]],listeEntrées[Quantite])</f>
        <v>82</v>
      </c>
      <c r="G270">
        <f>SUMIF(listeSorties[Reference],Table4[[#This Row],[reference]],listeSorties[Quantite])</f>
        <v>88</v>
      </c>
      <c r="H270">
        <f>Table4[[#This Row],[stock initial]]+Table4[[#This Row],[entrees]]-Table4[[#This Row],[sorties]]</f>
        <v>115</v>
      </c>
      <c r="I270">
        <f>Table4[[#This Row],[stock final]]*(VLOOKUP(Table4[[#This Row],[reference]],listeMarchandises[],7,FALSE))</f>
        <v>92845777.849999994</v>
      </c>
      <c r="J270" t="str">
        <f>IF(Table4[[#This Row],[valeur]]&lt;=Table4[[#This Row],[seuil d''alerte]],"stock faible","stock normal")</f>
        <v>stock normal</v>
      </c>
    </row>
    <row r="271" spans="1:10" x14ac:dyDescent="0.25">
      <c r="A271" t="s">
        <v>551</v>
      </c>
      <c r="B271" t="str">
        <f>VLOOKUP(Table4[[#This Row],[reference]],listeMarchandises[],2,FALSE)</f>
        <v>Smartphone Prime 072</v>
      </c>
      <c r="C271" t="str">
        <f>VLOOKUP(Table4[[#This Row],[reference]],listeMarchandises[],3,FALSE)</f>
        <v>Smartphone</v>
      </c>
      <c r="D271">
        <f>VLOOKUP(Table4[[#This Row],[reference]],listeMarchandises[],4,FALSE)</f>
        <v>19</v>
      </c>
      <c r="E271">
        <f>VLOOKUP(Table4[[#This Row],[reference]],listeMarchandises[],6,FALSE)</f>
        <v>344</v>
      </c>
      <c r="F271">
        <f>SUMIF(listeEntrées[Reference],Table4[[#This Row],[reference]],listeEntrées[Quantite])</f>
        <v>106</v>
      </c>
      <c r="G271">
        <f>SUMIF(listeSorties[Reference],Table4[[#This Row],[reference]],listeSorties[Quantite])</f>
        <v>0</v>
      </c>
      <c r="H271">
        <f>Table4[[#This Row],[stock initial]]+Table4[[#This Row],[entrees]]-Table4[[#This Row],[sorties]]</f>
        <v>450</v>
      </c>
      <c r="I271">
        <f>Table4[[#This Row],[stock final]]*(VLOOKUP(Table4[[#This Row],[reference]],listeMarchandises[],7,FALSE))</f>
        <v>469656337.5</v>
      </c>
      <c r="J271" t="str">
        <f>IF(Table4[[#This Row],[valeur]]&lt;=Table4[[#This Row],[seuil d''alerte]],"stock faible","stock normal")</f>
        <v>stock normal</v>
      </c>
    </row>
    <row r="272" spans="1:10" x14ac:dyDescent="0.25">
      <c r="A272" t="s">
        <v>553</v>
      </c>
      <c r="B272" t="str">
        <f>VLOOKUP(Table4[[#This Row],[reference]],listeMarchandises[],2,FALSE)</f>
        <v>Batterie electronique 064</v>
      </c>
      <c r="C272" t="str">
        <f>VLOOKUP(Table4[[#This Row],[reference]],listeMarchandises[],3,FALSE)</f>
        <v>Instrument de musique</v>
      </c>
      <c r="D272">
        <f>VLOOKUP(Table4[[#This Row],[reference]],listeMarchandises[],4,FALSE)</f>
        <v>22</v>
      </c>
      <c r="E272">
        <f>VLOOKUP(Table4[[#This Row],[reference]],listeMarchandises[],6,FALSE)</f>
        <v>78</v>
      </c>
      <c r="F272">
        <f>SUMIF(listeEntrées[Reference],Table4[[#This Row],[reference]],listeEntrées[Quantite])</f>
        <v>380</v>
      </c>
      <c r="G272">
        <f>SUMIF(listeSorties[Reference],Table4[[#This Row],[reference]],listeSorties[Quantite])</f>
        <v>34</v>
      </c>
      <c r="H272">
        <f>Table4[[#This Row],[stock initial]]+Table4[[#This Row],[entrees]]-Table4[[#This Row],[sorties]]</f>
        <v>424</v>
      </c>
      <c r="I272">
        <f>Table4[[#This Row],[stock final]]*(VLOOKUP(Table4[[#This Row],[reference]],listeMarchandises[],7,FALSE))</f>
        <v>56382171.68</v>
      </c>
      <c r="J272" t="str">
        <f>IF(Table4[[#This Row],[valeur]]&lt;=Table4[[#This Row],[seuil d''alerte]],"stock faible","stock normal")</f>
        <v>stock normal</v>
      </c>
    </row>
    <row r="273" spans="1:10" x14ac:dyDescent="0.25">
      <c r="A273" t="s">
        <v>555</v>
      </c>
      <c r="B273" t="str">
        <f>VLOOKUP(Table4[[#This Row],[reference]],listeMarchandises[],2,FALSE)</f>
        <v>Smartphone Nova 073</v>
      </c>
      <c r="C273" t="str">
        <f>VLOOKUP(Table4[[#This Row],[reference]],listeMarchandises[],3,FALSE)</f>
        <v>Smartphone</v>
      </c>
      <c r="D273">
        <f>VLOOKUP(Table4[[#This Row],[reference]],listeMarchandises[],4,FALSE)</f>
        <v>22</v>
      </c>
      <c r="E273">
        <f>VLOOKUP(Table4[[#This Row],[reference]],listeMarchandises[],6,FALSE)</f>
        <v>254</v>
      </c>
      <c r="F273">
        <f>SUMIF(listeEntrées[Reference],Table4[[#This Row],[reference]],listeEntrées[Quantite])</f>
        <v>113</v>
      </c>
      <c r="G273">
        <f>SUMIF(listeSorties[Reference],Table4[[#This Row],[reference]],listeSorties[Quantite])</f>
        <v>102</v>
      </c>
      <c r="H273">
        <f>Table4[[#This Row],[stock initial]]+Table4[[#This Row],[entrees]]-Table4[[#This Row],[sorties]]</f>
        <v>265</v>
      </c>
      <c r="I273">
        <f>Table4[[#This Row],[stock final]]*(VLOOKUP(Table4[[#This Row],[reference]],listeMarchandises[],7,FALSE))</f>
        <v>87153817.450000003</v>
      </c>
      <c r="J273" t="str">
        <f>IF(Table4[[#This Row],[valeur]]&lt;=Table4[[#This Row],[seuil d''alerte]],"stock faible","stock normal")</f>
        <v>stock normal</v>
      </c>
    </row>
    <row r="274" spans="1:10" x14ac:dyDescent="0.25">
      <c r="A274" t="s">
        <v>557</v>
      </c>
      <c r="B274" t="str">
        <f>VLOOKUP(Table4[[#This Row],[reference]],listeMarchandises[],2,FALSE)</f>
        <v>Aspirateur 074</v>
      </c>
      <c r="C274" t="str">
        <f>VLOOKUP(Table4[[#This Row],[reference]],listeMarchandises[],3,FALSE)</f>
        <v>Electromenager</v>
      </c>
      <c r="D274">
        <f>VLOOKUP(Table4[[#This Row],[reference]],listeMarchandises[],4,FALSE)</f>
        <v>19</v>
      </c>
      <c r="E274">
        <f>VLOOKUP(Table4[[#This Row],[reference]],listeMarchandises[],6,FALSE)</f>
        <v>315</v>
      </c>
      <c r="F274">
        <f>SUMIF(listeEntrées[Reference],Table4[[#This Row],[reference]],listeEntrées[Quantite])</f>
        <v>30</v>
      </c>
      <c r="G274">
        <f>SUMIF(listeSorties[Reference],Table4[[#This Row],[reference]],listeSorties[Quantite])</f>
        <v>104</v>
      </c>
      <c r="H274">
        <f>Table4[[#This Row],[stock initial]]+Table4[[#This Row],[entrees]]-Table4[[#This Row],[sorties]]</f>
        <v>241</v>
      </c>
      <c r="I274">
        <f>Table4[[#This Row],[stock final]]*(VLOOKUP(Table4[[#This Row],[reference]],listeMarchandises[],7,FALSE))</f>
        <v>115742185.23</v>
      </c>
      <c r="J274" t="str">
        <f>IF(Table4[[#This Row],[valeur]]&lt;=Table4[[#This Row],[seuil d''alerte]],"stock faible","stock normal")</f>
        <v>stock normal</v>
      </c>
    </row>
    <row r="275" spans="1:10" x14ac:dyDescent="0.25">
      <c r="A275" t="s">
        <v>559</v>
      </c>
      <c r="B275" t="str">
        <f>VLOOKUP(Table4[[#This Row],[reference]],listeMarchandises[],2,FALSE)</f>
        <v>Piano numerique 065</v>
      </c>
      <c r="C275" t="str">
        <f>VLOOKUP(Table4[[#This Row],[reference]],listeMarchandises[],3,FALSE)</f>
        <v>Instrument de musique</v>
      </c>
      <c r="D275">
        <f>VLOOKUP(Table4[[#This Row],[reference]],listeMarchandises[],4,FALSE)</f>
        <v>6</v>
      </c>
      <c r="E275">
        <f>VLOOKUP(Table4[[#This Row],[reference]],listeMarchandises[],6,FALSE)</f>
        <v>150</v>
      </c>
      <c r="F275">
        <f>SUMIF(listeEntrées[Reference],Table4[[#This Row],[reference]],listeEntrées[Quantite])</f>
        <v>266</v>
      </c>
      <c r="G275">
        <f>SUMIF(listeSorties[Reference],Table4[[#This Row],[reference]],listeSorties[Quantite])</f>
        <v>74</v>
      </c>
      <c r="H275">
        <f>Table4[[#This Row],[stock initial]]+Table4[[#This Row],[entrees]]-Table4[[#This Row],[sorties]]</f>
        <v>342</v>
      </c>
      <c r="I275">
        <f>Table4[[#This Row],[stock final]]*(VLOOKUP(Table4[[#This Row],[reference]],listeMarchandises[],7,FALSE))</f>
        <v>581566297.5</v>
      </c>
      <c r="J275" t="str">
        <f>IF(Table4[[#This Row],[valeur]]&lt;=Table4[[#This Row],[seuil d''alerte]],"stock faible","stock normal")</f>
        <v>stock normal</v>
      </c>
    </row>
    <row r="276" spans="1:10" x14ac:dyDescent="0.25">
      <c r="A276" t="s">
        <v>561</v>
      </c>
      <c r="B276" t="str">
        <f>VLOOKUP(Table4[[#This Row],[reference]],listeMarchandises[],2,FALSE)</f>
        <v>Clavier arrangeur 066</v>
      </c>
      <c r="C276" t="str">
        <f>VLOOKUP(Table4[[#This Row],[reference]],listeMarchandises[],3,FALSE)</f>
        <v>Instrument de musique</v>
      </c>
      <c r="D276">
        <f>VLOOKUP(Table4[[#This Row],[reference]],listeMarchandises[],4,FALSE)</f>
        <v>3</v>
      </c>
      <c r="E276">
        <f>VLOOKUP(Table4[[#This Row],[reference]],listeMarchandises[],6,FALSE)</f>
        <v>270</v>
      </c>
      <c r="F276">
        <f>SUMIF(listeEntrées[Reference],Table4[[#This Row],[reference]],listeEntrées[Quantite])</f>
        <v>368</v>
      </c>
      <c r="G276">
        <f>SUMIF(listeSorties[Reference],Table4[[#This Row],[reference]],listeSorties[Quantite])</f>
        <v>67</v>
      </c>
      <c r="H276">
        <f>Table4[[#This Row],[stock initial]]+Table4[[#This Row],[entrees]]-Table4[[#This Row],[sorties]]</f>
        <v>571</v>
      </c>
      <c r="I276">
        <f>Table4[[#This Row],[stock final]]*(VLOOKUP(Table4[[#This Row],[reference]],listeMarchandises[],7,FALSE))</f>
        <v>873262909.81000006</v>
      </c>
      <c r="J276" t="str">
        <f>IF(Table4[[#This Row],[valeur]]&lt;=Table4[[#This Row],[seuil d''alerte]],"stock faible","stock normal")</f>
        <v>stock normal</v>
      </c>
    </row>
    <row r="277" spans="1:10" x14ac:dyDescent="0.25">
      <c r="A277" t="s">
        <v>563</v>
      </c>
      <c r="B277" t="str">
        <f>VLOOKUP(Table4[[#This Row],[reference]],listeMarchandises[],2,FALSE)</f>
        <v>Smartphone Lite 074</v>
      </c>
      <c r="C277" t="str">
        <f>VLOOKUP(Table4[[#This Row],[reference]],listeMarchandises[],3,FALSE)</f>
        <v>Smartphone</v>
      </c>
      <c r="D277">
        <f>VLOOKUP(Table4[[#This Row],[reference]],listeMarchandises[],4,FALSE)</f>
        <v>16</v>
      </c>
      <c r="E277">
        <f>VLOOKUP(Table4[[#This Row],[reference]],listeMarchandises[],6,FALSE)</f>
        <v>312</v>
      </c>
      <c r="F277">
        <f>SUMIF(listeEntrées[Reference],Table4[[#This Row],[reference]],listeEntrées[Quantite])</f>
        <v>42</v>
      </c>
      <c r="G277">
        <f>SUMIF(listeSorties[Reference],Table4[[#This Row],[reference]],listeSorties[Quantite])</f>
        <v>63</v>
      </c>
      <c r="H277">
        <f>Table4[[#This Row],[stock initial]]+Table4[[#This Row],[entrees]]-Table4[[#This Row],[sorties]]</f>
        <v>291</v>
      </c>
      <c r="I277">
        <f>Table4[[#This Row],[stock final]]*(VLOOKUP(Table4[[#This Row],[reference]],listeMarchandises[],7,FALSE))</f>
        <v>257234888.78999999</v>
      </c>
      <c r="J277" t="str">
        <f>IF(Table4[[#This Row],[valeur]]&lt;=Table4[[#This Row],[seuil d''alerte]],"stock faible","stock normal")</f>
        <v>stock normal</v>
      </c>
    </row>
    <row r="278" spans="1:10" x14ac:dyDescent="0.25">
      <c r="A278" t="s">
        <v>565</v>
      </c>
      <c r="B278" t="str">
        <f>VLOOKUP(Table4[[#This Row],[reference]],listeMarchandises[],2,FALSE)</f>
        <v>Groupe 5kVA 063</v>
      </c>
      <c r="C278" t="str">
        <f>VLOOKUP(Table4[[#This Row],[reference]],listeMarchandises[],3,FALSE)</f>
        <v>Groupe electrogene</v>
      </c>
      <c r="D278">
        <f>VLOOKUP(Table4[[#This Row],[reference]],listeMarchandises[],4,FALSE)</f>
        <v>23</v>
      </c>
      <c r="E278">
        <f>VLOOKUP(Table4[[#This Row],[reference]],listeMarchandises[],6,FALSE)</f>
        <v>313</v>
      </c>
      <c r="F278">
        <f>SUMIF(listeEntrées[Reference],Table4[[#This Row],[reference]],listeEntrées[Quantite])</f>
        <v>152</v>
      </c>
      <c r="G278">
        <f>SUMIF(listeSorties[Reference],Table4[[#This Row],[reference]],listeSorties[Quantite])</f>
        <v>76</v>
      </c>
      <c r="H278">
        <f>Table4[[#This Row],[stock initial]]+Table4[[#This Row],[entrees]]-Table4[[#This Row],[sorties]]</f>
        <v>389</v>
      </c>
      <c r="I278">
        <f>Table4[[#This Row],[stock final]]*(VLOOKUP(Table4[[#This Row],[reference]],listeMarchandises[],7,FALSE))</f>
        <v>346629555.95000005</v>
      </c>
      <c r="J278" t="str">
        <f>IF(Table4[[#This Row],[valeur]]&lt;=Table4[[#This Row],[seuil d''alerte]],"stock faible","stock normal")</f>
        <v>stock normal</v>
      </c>
    </row>
    <row r="279" spans="1:10" x14ac:dyDescent="0.25">
      <c r="A279" t="s">
        <v>567</v>
      </c>
      <c r="B279" t="str">
        <f>VLOOKUP(Table4[[#This Row],[reference]],listeMarchandises[],2,FALSE)</f>
        <v>Groupe 5kVA 064</v>
      </c>
      <c r="C279" t="str">
        <f>VLOOKUP(Table4[[#This Row],[reference]],listeMarchandises[],3,FALSE)</f>
        <v>Groupe electrogene</v>
      </c>
      <c r="D279">
        <f>VLOOKUP(Table4[[#This Row],[reference]],listeMarchandises[],4,FALSE)</f>
        <v>24</v>
      </c>
      <c r="E279">
        <f>VLOOKUP(Table4[[#This Row],[reference]],listeMarchandises[],6,FALSE)</f>
        <v>360</v>
      </c>
      <c r="F279">
        <f>SUMIF(listeEntrées[Reference],Table4[[#This Row],[reference]],listeEntrées[Quantite])</f>
        <v>140</v>
      </c>
      <c r="G279">
        <f>SUMIF(listeSorties[Reference],Table4[[#This Row],[reference]],listeSorties[Quantite])</f>
        <v>107</v>
      </c>
      <c r="H279">
        <f>Table4[[#This Row],[stock initial]]+Table4[[#This Row],[entrees]]-Table4[[#This Row],[sorties]]</f>
        <v>393</v>
      </c>
      <c r="I279">
        <f>Table4[[#This Row],[stock final]]*(VLOOKUP(Table4[[#This Row],[reference]],listeMarchandises[],7,FALSE))</f>
        <v>229523581.70999998</v>
      </c>
      <c r="J279" t="str">
        <f>IF(Table4[[#This Row],[valeur]]&lt;=Table4[[#This Row],[seuil d''alerte]],"stock faible","stock normal")</f>
        <v>stock normal</v>
      </c>
    </row>
    <row r="280" spans="1:10" x14ac:dyDescent="0.25">
      <c r="A280" t="s">
        <v>569</v>
      </c>
      <c r="B280" t="str">
        <f>VLOOKUP(Table4[[#This Row],[reference]],listeMarchandises[],2,FALSE)</f>
        <v>Groupe 12kVA 065</v>
      </c>
      <c r="C280" t="str">
        <f>VLOOKUP(Table4[[#This Row],[reference]],listeMarchandises[],3,FALSE)</f>
        <v>Groupe electrogene</v>
      </c>
      <c r="D280">
        <f>VLOOKUP(Table4[[#This Row],[reference]],listeMarchandises[],4,FALSE)</f>
        <v>10</v>
      </c>
      <c r="E280">
        <f>VLOOKUP(Table4[[#This Row],[reference]],listeMarchandises[],6,FALSE)</f>
        <v>200</v>
      </c>
      <c r="F280">
        <f>SUMIF(listeEntrées[Reference],Table4[[#This Row],[reference]],listeEntrées[Quantite])</f>
        <v>85</v>
      </c>
      <c r="G280">
        <f>SUMIF(listeSorties[Reference],Table4[[#This Row],[reference]],listeSorties[Quantite])</f>
        <v>202</v>
      </c>
      <c r="H280">
        <f>Table4[[#This Row],[stock initial]]+Table4[[#This Row],[entrees]]-Table4[[#This Row],[sorties]]</f>
        <v>83</v>
      </c>
      <c r="I280">
        <f>Table4[[#This Row],[stock final]]*(VLOOKUP(Table4[[#This Row],[reference]],listeMarchandises[],7,FALSE))</f>
        <v>290297382.06</v>
      </c>
      <c r="J280" t="str">
        <f>IF(Table4[[#This Row],[valeur]]&lt;=Table4[[#This Row],[seuil d''alerte]],"stock faible","stock normal")</f>
        <v>stock normal</v>
      </c>
    </row>
    <row r="281" spans="1:10" x14ac:dyDescent="0.25">
      <c r="A281" t="s">
        <v>571</v>
      </c>
      <c r="B281" t="str">
        <f>VLOOKUP(Table4[[#This Row],[reference]],listeMarchandises[],2,FALSE)</f>
        <v>Groupe silencieux 6kVA 066</v>
      </c>
      <c r="C281" t="str">
        <f>VLOOKUP(Table4[[#This Row],[reference]],listeMarchandises[],3,FALSE)</f>
        <v>Groupe electrogene</v>
      </c>
      <c r="D281">
        <f>VLOOKUP(Table4[[#This Row],[reference]],listeMarchandises[],4,FALSE)</f>
        <v>9</v>
      </c>
      <c r="E281">
        <f>VLOOKUP(Table4[[#This Row],[reference]],listeMarchandises[],6,FALSE)</f>
        <v>232</v>
      </c>
      <c r="F281">
        <f>SUMIF(listeEntrées[Reference],Table4[[#This Row],[reference]],listeEntrées[Quantite])</f>
        <v>171</v>
      </c>
      <c r="G281">
        <f>SUMIF(listeSorties[Reference],Table4[[#This Row],[reference]],listeSorties[Quantite])</f>
        <v>106</v>
      </c>
      <c r="H281">
        <f>Table4[[#This Row],[stock initial]]+Table4[[#This Row],[entrees]]-Table4[[#This Row],[sorties]]</f>
        <v>297</v>
      </c>
      <c r="I281">
        <f>Table4[[#This Row],[stock final]]*(VLOOKUP(Table4[[#This Row],[reference]],listeMarchandises[],7,FALSE))</f>
        <v>577255980.50999999</v>
      </c>
      <c r="J281" t="str">
        <f>IF(Table4[[#This Row],[valeur]]&lt;=Table4[[#This Row],[seuil d''alerte]],"stock faible","stock normal")</f>
        <v>stock normal</v>
      </c>
    </row>
    <row r="282" spans="1:10" x14ac:dyDescent="0.25">
      <c r="A282" t="s">
        <v>573</v>
      </c>
      <c r="B282" t="str">
        <f>VLOOKUP(Table4[[#This Row],[reference]],listeMarchandises[],2,FALSE)</f>
        <v>Piano numerique 067</v>
      </c>
      <c r="C282" t="str">
        <f>VLOOKUP(Table4[[#This Row],[reference]],listeMarchandises[],3,FALSE)</f>
        <v>Instrument de musique</v>
      </c>
      <c r="D282">
        <f>VLOOKUP(Table4[[#This Row],[reference]],listeMarchandises[],4,FALSE)</f>
        <v>19</v>
      </c>
      <c r="E282">
        <f>VLOOKUP(Table4[[#This Row],[reference]],listeMarchandises[],6,FALSE)</f>
        <v>307</v>
      </c>
      <c r="F282">
        <f>SUMIF(listeEntrées[Reference],Table4[[#This Row],[reference]],listeEntrées[Quantite])</f>
        <v>165</v>
      </c>
      <c r="G282">
        <f>SUMIF(listeSorties[Reference],Table4[[#This Row],[reference]],listeSorties[Quantite])</f>
        <v>64</v>
      </c>
      <c r="H282">
        <f>Table4[[#This Row],[stock initial]]+Table4[[#This Row],[entrees]]-Table4[[#This Row],[sorties]]</f>
        <v>408</v>
      </c>
      <c r="I282">
        <f>Table4[[#This Row],[stock final]]*(VLOOKUP(Table4[[#This Row],[reference]],listeMarchandises[],7,FALSE))</f>
        <v>550009177.67999995</v>
      </c>
      <c r="J282" t="str">
        <f>IF(Table4[[#This Row],[valeur]]&lt;=Table4[[#This Row],[seuil d''alerte]],"stock faible","stock normal")</f>
        <v>stock normal</v>
      </c>
    </row>
    <row r="283" spans="1:10" x14ac:dyDescent="0.25">
      <c r="A283" t="s">
        <v>575</v>
      </c>
      <c r="B283" t="str">
        <f>VLOOKUP(Table4[[#This Row],[reference]],listeMarchandises[],2,FALSE)</f>
        <v>Smartphone Nova 075</v>
      </c>
      <c r="C283" t="str">
        <f>VLOOKUP(Table4[[#This Row],[reference]],listeMarchandises[],3,FALSE)</f>
        <v>Smartphone</v>
      </c>
      <c r="D283">
        <f>VLOOKUP(Table4[[#This Row],[reference]],listeMarchandises[],4,FALSE)</f>
        <v>12</v>
      </c>
      <c r="E283">
        <f>VLOOKUP(Table4[[#This Row],[reference]],listeMarchandises[],6,FALSE)</f>
        <v>266</v>
      </c>
      <c r="F283">
        <f>SUMIF(listeEntrées[Reference],Table4[[#This Row],[reference]],listeEntrées[Quantite])</f>
        <v>91</v>
      </c>
      <c r="G283">
        <f>SUMIF(listeSorties[Reference],Table4[[#This Row],[reference]],listeSorties[Quantite])</f>
        <v>64</v>
      </c>
      <c r="H283">
        <f>Table4[[#This Row],[stock initial]]+Table4[[#This Row],[entrees]]-Table4[[#This Row],[sorties]]</f>
        <v>293</v>
      </c>
      <c r="I283">
        <f>Table4[[#This Row],[stock final]]*(VLOOKUP(Table4[[#This Row],[reference]],listeMarchandises[],7,FALSE))</f>
        <v>165293998.62</v>
      </c>
      <c r="J283" t="str">
        <f>IF(Table4[[#This Row],[valeur]]&lt;=Table4[[#This Row],[seuil d''alerte]],"stock faible","stock normal")</f>
        <v>stock normal</v>
      </c>
    </row>
    <row r="284" spans="1:10" x14ac:dyDescent="0.25">
      <c r="A284" t="s">
        <v>577</v>
      </c>
      <c r="B284" t="str">
        <f>VLOOKUP(Table4[[#This Row],[reference]],listeMarchandises[],2,FALSE)</f>
        <v>Guitare acoustique 068</v>
      </c>
      <c r="C284" t="str">
        <f>VLOOKUP(Table4[[#This Row],[reference]],listeMarchandises[],3,FALSE)</f>
        <v>Instrument de musique</v>
      </c>
      <c r="D284">
        <f>VLOOKUP(Table4[[#This Row],[reference]],listeMarchandises[],4,FALSE)</f>
        <v>6</v>
      </c>
      <c r="E284">
        <f>VLOOKUP(Table4[[#This Row],[reference]],listeMarchandises[],6,FALSE)</f>
        <v>124</v>
      </c>
      <c r="F284">
        <f>SUMIF(listeEntrées[Reference],Table4[[#This Row],[reference]],listeEntrées[Quantite])</f>
        <v>251</v>
      </c>
      <c r="G284">
        <f>SUMIF(listeSorties[Reference],Table4[[#This Row],[reference]],listeSorties[Quantite])</f>
        <v>72</v>
      </c>
      <c r="H284">
        <f>Table4[[#This Row],[stock initial]]+Table4[[#This Row],[entrees]]-Table4[[#This Row],[sorties]]</f>
        <v>303</v>
      </c>
      <c r="I284">
        <f>Table4[[#This Row],[stock final]]*(VLOOKUP(Table4[[#This Row],[reference]],listeMarchandises[],7,FALSE))</f>
        <v>318799804.71000004</v>
      </c>
      <c r="J284" t="str">
        <f>IF(Table4[[#This Row],[valeur]]&lt;=Table4[[#This Row],[seuil d''alerte]],"stock faible","stock normal")</f>
        <v>stock normal</v>
      </c>
    </row>
    <row r="285" spans="1:10" x14ac:dyDescent="0.25">
      <c r="A285" t="s">
        <v>579</v>
      </c>
      <c r="B285" t="str">
        <f>VLOOKUP(Table4[[#This Row],[reference]],listeMarchandises[],2,FALSE)</f>
        <v>Groupe 12kVA 067</v>
      </c>
      <c r="C285" t="str">
        <f>VLOOKUP(Table4[[#This Row],[reference]],listeMarchandises[],3,FALSE)</f>
        <v>Groupe electrogene</v>
      </c>
      <c r="D285">
        <f>VLOOKUP(Table4[[#This Row],[reference]],listeMarchandises[],4,FALSE)</f>
        <v>10</v>
      </c>
      <c r="E285">
        <f>VLOOKUP(Table4[[#This Row],[reference]],listeMarchandises[],6,FALSE)</f>
        <v>214</v>
      </c>
      <c r="F285">
        <f>SUMIF(listeEntrées[Reference],Table4[[#This Row],[reference]],listeEntrées[Quantite])</f>
        <v>0</v>
      </c>
      <c r="G285">
        <f>SUMIF(listeSorties[Reference],Table4[[#This Row],[reference]],listeSorties[Quantite])</f>
        <v>131</v>
      </c>
      <c r="H285">
        <f>Table4[[#This Row],[stock initial]]+Table4[[#This Row],[entrees]]-Table4[[#This Row],[sorties]]</f>
        <v>83</v>
      </c>
      <c r="I285">
        <f>Table4[[#This Row],[stock final]]*(VLOOKUP(Table4[[#This Row],[reference]],listeMarchandises[],7,FALSE))</f>
        <v>96644902.859999999</v>
      </c>
      <c r="J285" t="str">
        <f>IF(Table4[[#This Row],[valeur]]&lt;=Table4[[#This Row],[seuil d''alerte]],"stock faible","stock normal")</f>
        <v>stock normal</v>
      </c>
    </row>
    <row r="286" spans="1:10" x14ac:dyDescent="0.25">
      <c r="A286" t="s">
        <v>581</v>
      </c>
      <c r="B286" t="str">
        <f>VLOOKUP(Table4[[#This Row],[reference]],listeMarchandises[],2,FALSE)</f>
        <v>Groupe 12kVA 068</v>
      </c>
      <c r="C286" t="str">
        <f>VLOOKUP(Table4[[#This Row],[reference]],listeMarchandises[],3,FALSE)</f>
        <v>Groupe electrogene</v>
      </c>
      <c r="D286">
        <f>VLOOKUP(Table4[[#This Row],[reference]],listeMarchandises[],4,FALSE)</f>
        <v>15</v>
      </c>
      <c r="E286">
        <f>VLOOKUP(Table4[[#This Row],[reference]],listeMarchandises[],6,FALSE)</f>
        <v>75</v>
      </c>
      <c r="F286">
        <f>SUMIF(listeEntrées[Reference],Table4[[#This Row],[reference]],listeEntrées[Quantite])</f>
        <v>43</v>
      </c>
      <c r="G286">
        <f>SUMIF(listeSorties[Reference],Table4[[#This Row],[reference]],listeSorties[Quantite])</f>
        <v>68</v>
      </c>
      <c r="H286">
        <f>Table4[[#This Row],[stock initial]]+Table4[[#This Row],[entrees]]-Table4[[#This Row],[sorties]]</f>
        <v>50</v>
      </c>
      <c r="I286">
        <f>Table4[[#This Row],[stock final]]*(VLOOKUP(Table4[[#This Row],[reference]],listeMarchandises[],7,FALSE))</f>
        <v>175017863</v>
      </c>
      <c r="J286" t="str">
        <f>IF(Table4[[#This Row],[valeur]]&lt;=Table4[[#This Row],[seuil d''alerte]],"stock faible","stock normal")</f>
        <v>stock normal</v>
      </c>
    </row>
    <row r="287" spans="1:10" x14ac:dyDescent="0.25">
      <c r="A287" t="s">
        <v>583</v>
      </c>
      <c r="B287" t="str">
        <f>VLOOKUP(Table4[[#This Row],[reference]],listeMarchandises[],2,FALSE)</f>
        <v>Smartphone Alpha 076</v>
      </c>
      <c r="C287" t="str">
        <f>VLOOKUP(Table4[[#This Row],[reference]],listeMarchandises[],3,FALSE)</f>
        <v>Smartphone</v>
      </c>
      <c r="D287">
        <f>VLOOKUP(Table4[[#This Row],[reference]],listeMarchandises[],4,FALSE)</f>
        <v>7</v>
      </c>
      <c r="E287">
        <f>VLOOKUP(Table4[[#This Row],[reference]],listeMarchandises[],6,FALSE)</f>
        <v>122</v>
      </c>
      <c r="F287">
        <f>SUMIF(listeEntrées[Reference],Table4[[#This Row],[reference]],listeEntrées[Quantite])</f>
        <v>43</v>
      </c>
      <c r="G287">
        <f>SUMIF(listeSorties[Reference],Table4[[#This Row],[reference]],listeSorties[Quantite])</f>
        <v>42</v>
      </c>
      <c r="H287">
        <f>Table4[[#This Row],[stock initial]]+Table4[[#This Row],[entrees]]-Table4[[#This Row],[sorties]]</f>
        <v>123</v>
      </c>
      <c r="I287">
        <f>Table4[[#This Row],[stock final]]*(VLOOKUP(Table4[[#This Row],[reference]],listeMarchandises[],7,FALSE))</f>
        <v>113140436.84999999</v>
      </c>
      <c r="J287" t="str">
        <f>IF(Table4[[#This Row],[valeur]]&lt;=Table4[[#This Row],[seuil d''alerte]],"stock faible","stock normal")</f>
        <v>stock normal</v>
      </c>
    </row>
    <row r="288" spans="1:10" x14ac:dyDescent="0.25">
      <c r="A288" t="s">
        <v>585</v>
      </c>
      <c r="B288" t="str">
        <f>VLOOKUP(Table4[[#This Row],[reference]],listeMarchandises[],2,FALSE)</f>
        <v>Smartphone Lite 077</v>
      </c>
      <c r="C288" t="str">
        <f>VLOOKUP(Table4[[#This Row],[reference]],listeMarchandises[],3,FALSE)</f>
        <v>Smartphone</v>
      </c>
      <c r="D288">
        <f>VLOOKUP(Table4[[#This Row],[reference]],listeMarchandises[],4,FALSE)</f>
        <v>14</v>
      </c>
      <c r="E288">
        <f>VLOOKUP(Table4[[#This Row],[reference]],listeMarchandises[],6,FALSE)</f>
        <v>112</v>
      </c>
      <c r="F288">
        <f>SUMIF(listeEntrées[Reference],Table4[[#This Row],[reference]],listeEntrées[Quantite])</f>
        <v>295</v>
      </c>
      <c r="G288">
        <f>SUMIF(listeSorties[Reference],Table4[[#This Row],[reference]],listeSorties[Quantite])</f>
        <v>117</v>
      </c>
      <c r="H288">
        <f>Table4[[#This Row],[stock initial]]+Table4[[#This Row],[entrees]]-Table4[[#This Row],[sorties]]</f>
        <v>290</v>
      </c>
      <c r="I288">
        <f>Table4[[#This Row],[stock final]]*(VLOOKUP(Table4[[#This Row],[reference]],listeMarchandises[],7,FALSE))</f>
        <v>436876044.80000001</v>
      </c>
      <c r="J288" t="str">
        <f>IF(Table4[[#This Row],[valeur]]&lt;=Table4[[#This Row],[seuil d''alerte]],"stock faible","stock normal")</f>
        <v>stock normal</v>
      </c>
    </row>
    <row r="289" spans="1:10" x14ac:dyDescent="0.25">
      <c r="A289" t="s">
        <v>587</v>
      </c>
      <c r="B289" t="str">
        <f>VLOOKUP(Table4[[#This Row],[reference]],listeMarchandises[],2,FALSE)</f>
        <v>Refrigerateur 075</v>
      </c>
      <c r="C289" t="str">
        <f>VLOOKUP(Table4[[#This Row],[reference]],listeMarchandises[],3,FALSE)</f>
        <v>Electromenager</v>
      </c>
      <c r="D289">
        <f>VLOOKUP(Table4[[#This Row],[reference]],listeMarchandises[],4,FALSE)</f>
        <v>9</v>
      </c>
      <c r="E289">
        <f>VLOOKUP(Table4[[#This Row],[reference]],listeMarchandises[],6,FALSE)</f>
        <v>347</v>
      </c>
      <c r="F289">
        <f>SUMIF(listeEntrées[Reference],Table4[[#This Row],[reference]],listeEntrées[Quantite])</f>
        <v>59</v>
      </c>
      <c r="G289">
        <f>SUMIF(listeSorties[Reference],Table4[[#This Row],[reference]],listeSorties[Quantite])</f>
        <v>181</v>
      </c>
      <c r="H289">
        <f>Table4[[#This Row],[stock initial]]+Table4[[#This Row],[entrees]]-Table4[[#This Row],[sorties]]</f>
        <v>225</v>
      </c>
      <c r="I289">
        <f>Table4[[#This Row],[stock final]]*(VLOOKUP(Table4[[#This Row],[reference]],listeMarchandises[],7,FALSE))</f>
        <v>205503259.5</v>
      </c>
      <c r="J289" t="str">
        <f>IF(Table4[[#This Row],[valeur]]&lt;=Table4[[#This Row],[seuil d''alerte]],"stock faible","stock normal")</f>
        <v>stock normal</v>
      </c>
    </row>
    <row r="290" spans="1:10" x14ac:dyDescent="0.25">
      <c r="A290" t="s">
        <v>589</v>
      </c>
      <c r="B290" t="str">
        <f>VLOOKUP(Table4[[#This Row],[reference]],listeMarchandises[],2,FALSE)</f>
        <v>Groupe 8kVA 069</v>
      </c>
      <c r="C290" t="str">
        <f>VLOOKUP(Table4[[#This Row],[reference]],listeMarchandises[],3,FALSE)</f>
        <v>Groupe electrogene</v>
      </c>
      <c r="D290">
        <f>VLOOKUP(Table4[[#This Row],[reference]],listeMarchandises[],4,FALSE)</f>
        <v>21</v>
      </c>
      <c r="E290">
        <f>VLOOKUP(Table4[[#This Row],[reference]],listeMarchandises[],6,FALSE)</f>
        <v>170</v>
      </c>
      <c r="F290">
        <f>SUMIF(listeEntrées[Reference],Table4[[#This Row],[reference]],listeEntrées[Quantite])</f>
        <v>181</v>
      </c>
      <c r="G290">
        <f>SUMIF(listeSorties[Reference],Table4[[#This Row],[reference]],listeSorties[Quantite])</f>
        <v>43</v>
      </c>
      <c r="H290">
        <f>Table4[[#This Row],[stock initial]]+Table4[[#This Row],[entrees]]-Table4[[#This Row],[sorties]]</f>
        <v>308</v>
      </c>
      <c r="I290">
        <f>Table4[[#This Row],[stock final]]*(VLOOKUP(Table4[[#This Row],[reference]],listeMarchandises[],7,FALSE))</f>
        <v>452980429.44</v>
      </c>
      <c r="J290" t="str">
        <f>IF(Table4[[#This Row],[valeur]]&lt;=Table4[[#This Row],[seuil d''alerte]],"stock faible","stock normal")</f>
        <v>stock normal</v>
      </c>
    </row>
    <row r="291" spans="1:10" x14ac:dyDescent="0.25">
      <c r="A291" t="s">
        <v>591</v>
      </c>
      <c r="B291" t="str">
        <f>VLOOKUP(Table4[[#This Row],[reference]],listeMarchandises[],2,FALSE)</f>
        <v>Smartphone Ultra 078</v>
      </c>
      <c r="C291" t="str">
        <f>VLOOKUP(Table4[[#This Row],[reference]],listeMarchandises[],3,FALSE)</f>
        <v>Smartphone</v>
      </c>
      <c r="D291">
        <f>VLOOKUP(Table4[[#This Row],[reference]],listeMarchandises[],4,FALSE)</f>
        <v>20</v>
      </c>
      <c r="E291">
        <f>VLOOKUP(Table4[[#This Row],[reference]],listeMarchandises[],6,FALSE)</f>
        <v>283</v>
      </c>
      <c r="F291">
        <f>SUMIF(listeEntrées[Reference],Table4[[#This Row],[reference]],listeEntrées[Quantite])</f>
        <v>61</v>
      </c>
      <c r="G291">
        <f>SUMIF(listeSorties[Reference],Table4[[#This Row],[reference]],listeSorties[Quantite])</f>
        <v>141</v>
      </c>
      <c r="H291">
        <f>Table4[[#This Row],[stock initial]]+Table4[[#This Row],[entrees]]-Table4[[#This Row],[sorties]]</f>
        <v>203</v>
      </c>
      <c r="I291">
        <f>Table4[[#This Row],[stock final]]*(VLOOKUP(Table4[[#This Row],[reference]],listeMarchandises[],7,FALSE))</f>
        <v>204289110.90000001</v>
      </c>
      <c r="J291" t="str">
        <f>IF(Table4[[#This Row],[valeur]]&lt;=Table4[[#This Row],[seuil d''alerte]],"stock faible","stock normal")</f>
        <v>stock normal</v>
      </c>
    </row>
    <row r="292" spans="1:10" x14ac:dyDescent="0.25">
      <c r="A292" t="s">
        <v>593</v>
      </c>
      <c r="B292" t="str">
        <f>VLOOKUP(Table4[[#This Row],[reference]],listeMarchandises[],2,FALSE)</f>
        <v>Violon etude 069</v>
      </c>
      <c r="C292" t="str">
        <f>VLOOKUP(Table4[[#This Row],[reference]],listeMarchandises[],3,FALSE)</f>
        <v>Instrument de musique</v>
      </c>
      <c r="D292">
        <f>VLOOKUP(Table4[[#This Row],[reference]],listeMarchandises[],4,FALSE)</f>
        <v>8</v>
      </c>
      <c r="E292">
        <f>VLOOKUP(Table4[[#This Row],[reference]],listeMarchandises[],6,FALSE)</f>
        <v>230</v>
      </c>
      <c r="F292">
        <f>SUMIF(listeEntrées[Reference],Table4[[#This Row],[reference]],listeEntrées[Quantite])</f>
        <v>269</v>
      </c>
      <c r="G292">
        <f>SUMIF(listeSorties[Reference],Table4[[#This Row],[reference]],listeSorties[Quantite])</f>
        <v>115</v>
      </c>
      <c r="H292">
        <f>Table4[[#This Row],[stock initial]]+Table4[[#This Row],[entrees]]-Table4[[#This Row],[sorties]]</f>
        <v>384</v>
      </c>
      <c r="I292">
        <f>Table4[[#This Row],[stock final]]*(VLOOKUP(Table4[[#This Row],[reference]],listeMarchandises[],7,FALSE))</f>
        <v>225305725.44</v>
      </c>
      <c r="J292" t="str">
        <f>IF(Table4[[#This Row],[valeur]]&lt;=Table4[[#This Row],[seuil d''alerte]],"stock faible","stock normal")</f>
        <v>stock normal</v>
      </c>
    </row>
    <row r="293" spans="1:10" x14ac:dyDescent="0.25">
      <c r="A293" t="s">
        <v>595</v>
      </c>
      <c r="B293" t="str">
        <f>VLOOKUP(Table4[[#This Row],[reference]],listeMarchandises[],2,FALSE)</f>
        <v>Groupe 5kVA 070</v>
      </c>
      <c r="C293" t="str">
        <f>VLOOKUP(Table4[[#This Row],[reference]],listeMarchandises[],3,FALSE)</f>
        <v>Groupe electrogene</v>
      </c>
      <c r="D293">
        <f>VLOOKUP(Table4[[#This Row],[reference]],listeMarchandises[],4,FALSE)</f>
        <v>24</v>
      </c>
      <c r="E293">
        <f>VLOOKUP(Table4[[#This Row],[reference]],listeMarchandises[],6,FALSE)</f>
        <v>34</v>
      </c>
      <c r="F293">
        <f>SUMIF(listeEntrées[Reference],Table4[[#This Row],[reference]],listeEntrées[Quantite])</f>
        <v>30</v>
      </c>
      <c r="G293">
        <f>SUMIF(listeSorties[Reference],Table4[[#This Row],[reference]],listeSorties[Quantite])</f>
        <v>51</v>
      </c>
      <c r="H293">
        <f>Table4[[#This Row],[stock initial]]+Table4[[#This Row],[entrees]]-Table4[[#This Row],[sorties]]</f>
        <v>13</v>
      </c>
      <c r="I293">
        <f>Table4[[#This Row],[stock final]]*(VLOOKUP(Table4[[#This Row],[reference]],listeMarchandises[],7,FALSE))</f>
        <v>46876752.780000001</v>
      </c>
      <c r="J293" t="str">
        <f>IF(Table4[[#This Row],[valeur]]&lt;=Table4[[#This Row],[seuil d''alerte]],"stock faible","stock normal")</f>
        <v>stock normal</v>
      </c>
    </row>
    <row r="294" spans="1:10" x14ac:dyDescent="0.25">
      <c r="A294" t="s">
        <v>597</v>
      </c>
      <c r="B294" t="str">
        <f>VLOOKUP(Table4[[#This Row],[reference]],listeMarchandises[],2,FALSE)</f>
        <v>Batterie electronique 070</v>
      </c>
      <c r="C294" t="str">
        <f>VLOOKUP(Table4[[#This Row],[reference]],listeMarchandises[],3,FALSE)</f>
        <v>Instrument de musique</v>
      </c>
      <c r="D294">
        <f>VLOOKUP(Table4[[#This Row],[reference]],listeMarchandises[],4,FALSE)</f>
        <v>4</v>
      </c>
      <c r="E294">
        <f>VLOOKUP(Table4[[#This Row],[reference]],listeMarchandises[],6,FALSE)</f>
        <v>237</v>
      </c>
      <c r="F294">
        <f>SUMIF(listeEntrées[Reference],Table4[[#This Row],[reference]],listeEntrées[Quantite])</f>
        <v>56</v>
      </c>
      <c r="G294">
        <f>SUMIF(listeSorties[Reference],Table4[[#This Row],[reference]],listeSorties[Quantite])</f>
        <v>18</v>
      </c>
      <c r="H294">
        <f>Table4[[#This Row],[stock initial]]+Table4[[#This Row],[entrees]]-Table4[[#This Row],[sorties]]</f>
        <v>275</v>
      </c>
      <c r="I294">
        <f>Table4[[#This Row],[stock final]]*(VLOOKUP(Table4[[#This Row],[reference]],listeMarchandises[],7,FALSE))</f>
        <v>121701442.5</v>
      </c>
      <c r="J294" t="str">
        <f>IF(Table4[[#This Row],[valeur]]&lt;=Table4[[#This Row],[seuil d''alerte]],"stock faible","stock normal")</f>
        <v>stock normal</v>
      </c>
    </row>
    <row r="295" spans="1:10" x14ac:dyDescent="0.25">
      <c r="A295" t="s">
        <v>599</v>
      </c>
      <c r="B295" t="str">
        <f>VLOOKUP(Table4[[#This Row],[reference]],listeMarchandises[],2,FALSE)</f>
        <v>Groupe 5kVA 071</v>
      </c>
      <c r="C295" t="str">
        <f>VLOOKUP(Table4[[#This Row],[reference]],listeMarchandises[],3,FALSE)</f>
        <v>Groupe electrogene</v>
      </c>
      <c r="D295">
        <f>VLOOKUP(Table4[[#This Row],[reference]],listeMarchandises[],4,FALSE)</f>
        <v>10</v>
      </c>
      <c r="E295">
        <f>VLOOKUP(Table4[[#This Row],[reference]],listeMarchandises[],6,FALSE)</f>
        <v>72</v>
      </c>
      <c r="F295">
        <f>SUMIF(listeEntrées[Reference],Table4[[#This Row],[reference]],listeEntrées[Quantite])</f>
        <v>153</v>
      </c>
      <c r="G295">
        <f>SUMIF(listeSorties[Reference],Table4[[#This Row],[reference]],listeSorties[Quantite])</f>
        <v>38</v>
      </c>
      <c r="H295">
        <f>Table4[[#This Row],[stock initial]]+Table4[[#This Row],[entrees]]-Table4[[#This Row],[sorties]]</f>
        <v>187</v>
      </c>
      <c r="I295">
        <f>Table4[[#This Row],[stock final]]*(VLOOKUP(Table4[[#This Row],[reference]],listeMarchandises[],7,FALSE))</f>
        <v>462348004.14000005</v>
      </c>
      <c r="J295" t="str">
        <f>IF(Table4[[#This Row],[valeur]]&lt;=Table4[[#This Row],[seuil d''alerte]],"stock faible","stock normal")</f>
        <v>stock normal</v>
      </c>
    </row>
    <row r="296" spans="1:10" x14ac:dyDescent="0.25">
      <c r="A296" t="s">
        <v>601</v>
      </c>
      <c r="B296" t="str">
        <f>VLOOKUP(Table4[[#This Row],[reference]],listeMarchandises[],2,FALSE)</f>
        <v>Micro-ondes 076</v>
      </c>
      <c r="C296" t="str">
        <f>VLOOKUP(Table4[[#This Row],[reference]],listeMarchandises[],3,FALSE)</f>
        <v>Electromenager</v>
      </c>
      <c r="D296">
        <f>VLOOKUP(Table4[[#This Row],[reference]],listeMarchandises[],4,FALSE)</f>
        <v>6</v>
      </c>
      <c r="E296">
        <f>VLOOKUP(Table4[[#This Row],[reference]],listeMarchandises[],6,FALSE)</f>
        <v>261</v>
      </c>
      <c r="F296">
        <f>SUMIF(listeEntrées[Reference],Table4[[#This Row],[reference]],listeEntrées[Quantite])</f>
        <v>205</v>
      </c>
      <c r="G296">
        <f>SUMIF(listeSorties[Reference],Table4[[#This Row],[reference]],listeSorties[Quantite])</f>
        <v>48</v>
      </c>
      <c r="H296">
        <f>Table4[[#This Row],[stock initial]]+Table4[[#This Row],[entrees]]-Table4[[#This Row],[sorties]]</f>
        <v>418</v>
      </c>
      <c r="I296">
        <f>Table4[[#This Row],[stock final]]*(VLOOKUP(Table4[[#This Row],[reference]],listeMarchandises[],7,FALSE))</f>
        <v>278074299.36000001</v>
      </c>
      <c r="J296" t="str">
        <f>IF(Table4[[#This Row],[valeur]]&lt;=Table4[[#This Row],[seuil d''alerte]],"stock faible","stock normal")</f>
        <v>stock normal</v>
      </c>
    </row>
    <row r="297" spans="1:10" x14ac:dyDescent="0.25">
      <c r="A297" t="s">
        <v>603</v>
      </c>
      <c r="B297" t="str">
        <f>VLOOKUP(Table4[[#This Row],[reference]],listeMarchandises[],2,FALSE)</f>
        <v>Smartphone Nova 079</v>
      </c>
      <c r="C297" t="str">
        <f>VLOOKUP(Table4[[#This Row],[reference]],listeMarchandises[],3,FALSE)</f>
        <v>Smartphone</v>
      </c>
      <c r="D297">
        <f>VLOOKUP(Table4[[#This Row],[reference]],listeMarchandises[],4,FALSE)</f>
        <v>23</v>
      </c>
      <c r="E297">
        <f>VLOOKUP(Table4[[#This Row],[reference]],listeMarchandises[],6,FALSE)</f>
        <v>300</v>
      </c>
      <c r="F297">
        <f>SUMIF(listeEntrées[Reference],Table4[[#This Row],[reference]],listeEntrées[Quantite])</f>
        <v>128</v>
      </c>
      <c r="G297">
        <f>SUMIF(listeSorties[Reference],Table4[[#This Row],[reference]],listeSorties[Quantite])</f>
        <v>20</v>
      </c>
      <c r="H297">
        <f>Table4[[#This Row],[stock initial]]+Table4[[#This Row],[entrees]]-Table4[[#This Row],[sorties]]</f>
        <v>408</v>
      </c>
      <c r="I297">
        <f>Table4[[#This Row],[stock final]]*(VLOOKUP(Table4[[#This Row],[reference]],listeMarchandises[],7,FALSE))</f>
        <v>204571306.08000001</v>
      </c>
      <c r="J297" t="str">
        <f>IF(Table4[[#This Row],[valeur]]&lt;=Table4[[#This Row],[seuil d''alerte]],"stock faible","stock normal")</f>
        <v>stock normal</v>
      </c>
    </row>
    <row r="298" spans="1:10" x14ac:dyDescent="0.25">
      <c r="A298" t="s">
        <v>605</v>
      </c>
      <c r="B298" t="str">
        <f>VLOOKUP(Table4[[#This Row],[reference]],listeMarchandises[],2,FALSE)</f>
        <v>Smartphone Prime 080</v>
      </c>
      <c r="C298" t="str">
        <f>VLOOKUP(Table4[[#This Row],[reference]],listeMarchandises[],3,FALSE)</f>
        <v>Smartphone</v>
      </c>
      <c r="D298">
        <f>VLOOKUP(Table4[[#This Row],[reference]],listeMarchandises[],4,FALSE)</f>
        <v>14</v>
      </c>
      <c r="E298">
        <f>VLOOKUP(Table4[[#This Row],[reference]],listeMarchandises[],6,FALSE)</f>
        <v>347</v>
      </c>
      <c r="F298">
        <f>SUMIF(listeEntrées[Reference],Table4[[#This Row],[reference]],listeEntrées[Quantite])</f>
        <v>64</v>
      </c>
      <c r="G298">
        <f>SUMIF(listeSorties[Reference],Table4[[#This Row],[reference]],listeSorties[Quantite])</f>
        <v>35</v>
      </c>
      <c r="H298">
        <f>Table4[[#This Row],[stock initial]]+Table4[[#This Row],[entrees]]-Table4[[#This Row],[sorties]]</f>
        <v>376</v>
      </c>
      <c r="I298">
        <f>Table4[[#This Row],[stock final]]*(VLOOKUP(Table4[[#This Row],[reference]],listeMarchandises[],7,FALSE))</f>
        <v>143412314.47999999</v>
      </c>
      <c r="J298" t="str">
        <f>IF(Table4[[#This Row],[valeur]]&lt;=Table4[[#This Row],[seuil d''alerte]],"stock faible","stock normal")</f>
        <v>stock normal</v>
      </c>
    </row>
    <row r="299" spans="1:10" x14ac:dyDescent="0.25">
      <c r="A299" t="s">
        <v>607</v>
      </c>
      <c r="B299" t="str">
        <f>VLOOKUP(Table4[[#This Row],[reference]],listeMarchandises[],2,FALSE)</f>
        <v>Piano numerique 071</v>
      </c>
      <c r="C299" t="str">
        <f>VLOOKUP(Table4[[#This Row],[reference]],listeMarchandises[],3,FALSE)</f>
        <v>Instrument de musique</v>
      </c>
      <c r="D299">
        <f>VLOOKUP(Table4[[#This Row],[reference]],listeMarchandises[],4,FALSE)</f>
        <v>4</v>
      </c>
      <c r="E299">
        <f>VLOOKUP(Table4[[#This Row],[reference]],listeMarchandises[],6,FALSE)</f>
        <v>40</v>
      </c>
      <c r="F299">
        <f>SUMIF(listeEntrées[Reference],Table4[[#This Row],[reference]],listeEntrées[Quantite])</f>
        <v>143</v>
      </c>
      <c r="G299">
        <f>SUMIF(listeSorties[Reference],Table4[[#This Row],[reference]],listeSorties[Quantite])</f>
        <v>76</v>
      </c>
      <c r="H299">
        <f>Table4[[#This Row],[stock initial]]+Table4[[#This Row],[entrees]]-Table4[[#This Row],[sorties]]</f>
        <v>107</v>
      </c>
      <c r="I299">
        <f>Table4[[#This Row],[stock final]]*(VLOOKUP(Table4[[#This Row],[reference]],listeMarchandises[],7,FALSE))</f>
        <v>210017038.42000002</v>
      </c>
      <c r="J299" t="str">
        <f>IF(Table4[[#This Row],[valeur]]&lt;=Table4[[#This Row],[seuil d''alerte]],"stock faible","stock normal")</f>
        <v>stock normal</v>
      </c>
    </row>
    <row r="300" spans="1:10" x14ac:dyDescent="0.25">
      <c r="A300" t="s">
        <v>609</v>
      </c>
      <c r="B300" t="str">
        <f>VLOOKUP(Table4[[#This Row],[reference]],listeMarchandises[],2,FALSE)</f>
        <v>Climatiseur 077</v>
      </c>
      <c r="C300" t="str">
        <f>VLOOKUP(Table4[[#This Row],[reference]],listeMarchandises[],3,FALSE)</f>
        <v>Electromenager</v>
      </c>
      <c r="D300">
        <f>VLOOKUP(Table4[[#This Row],[reference]],listeMarchandises[],4,FALSE)</f>
        <v>19</v>
      </c>
      <c r="E300">
        <f>VLOOKUP(Table4[[#This Row],[reference]],listeMarchandises[],6,FALSE)</f>
        <v>232</v>
      </c>
      <c r="F300">
        <f>SUMIF(listeEntrées[Reference],Table4[[#This Row],[reference]],listeEntrées[Quantite])</f>
        <v>112</v>
      </c>
      <c r="G300">
        <f>SUMIF(listeSorties[Reference],Table4[[#This Row],[reference]],listeSorties[Quantite])</f>
        <v>146</v>
      </c>
      <c r="H300">
        <f>Table4[[#This Row],[stock initial]]+Table4[[#This Row],[entrees]]-Table4[[#This Row],[sorties]]</f>
        <v>198</v>
      </c>
      <c r="I300">
        <f>Table4[[#This Row],[stock final]]*(VLOOKUP(Table4[[#This Row],[reference]],listeMarchandises[],7,FALSE))</f>
        <v>84382927.200000003</v>
      </c>
      <c r="J300" t="str">
        <f>IF(Table4[[#This Row],[valeur]]&lt;=Table4[[#This Row],[seuil d''alerte]],"stock faible","stock normal")</f>
        <v>stock normal</v>
      </c>
    </row>
    <row r="301" spans="1:10" x14ac:dyDescent="0.25">
      <c r="A301" t="s">
        <v>611</v>
      </c>
      <c r="B301" t="str">
        <f>VLOOKUP(Table4[[#This Row],[reference]],listeMarchandises[],2,FALSE)</f>
        <v>Smartphone Nova 081</v>
      </c>
      <c r="C301" t="str">
        <f>VLOOKUP(Table4[[#This Row],[reference]],listeMarchandises[],3,FALSE)</f>
        <v>Smartphone</v>
      </c>
      <c r="D301">
        <f>VLOOKUP(Table4[[#This Row],[reference]],listeMarchandises[],4,FALSE)</f>
        <v>5</v>
      </c>
      <c r="E301">
        <f>VLOOKUP(Table4[[#This Row],[reference]],listeMarchandises[],6,FALSE)</f>
        <v>247</v>
      </c>
      <c r="F301">
        <f>SUMIF(listeEntrées[Reference],Table4[[#This Row],[reference]],listeEntrées[Quantite])</f>
        <v>28</v>
      </c>
      <c r="G301">
        <f>SUMIF(listeSorties[Reference],Table4[[#This Row],[reference]],listeSorties[Quantite])</f>
        <v>65</v>
      </c>
      <c r="H301">
        <f>Table4[[#This Row],[stock initial]]+Table4[[#This Row],[entrees]]-Table4[[#This Row],[sorties]]</f>
        <v>210</v>
      </c>
      <c r="I301">
        <f>Table4[[#This Row],[stock final]]*(VLOOKUP(Table4[[#This Row],[reference]],listeMarchandises[],7,FALSE))</f>
        <v>321626241.30000001</v>
      </c>
      <c r="J301" t="str">
        <f>IF(Table4[[#This Row],[valeur]]&lt;=Table4[[#This Row],[seuil d''alerte]],"stock faible","stock normal")</f>
        <v>stock normal</v>
      </c>
    </row>
    <row r="302" spans="1:10" x14ac:dyDescent="0.25">
      <c r="A302" t="s">
        <v>613</v>
      </c>
      <c r="B302" t="str">
        <f>VLOOKUP(Table4[[#This Row],[reference]],listeMarchandises[],2,FALSE)</f>
        <v>Smartphone Prime 082</v>
      </c>
      <c r="C302" t="str">
        <f>VLOOKUP(Table4[[#This Row],[reference]],listeMarchandises[],3,FALSE)</f>
        <v>Smartphone</v>
      </c>
      <c r="D302">
        <f>VLOOKUP(Table4[[#This Row],[reference]],listeMarchandises[],4,FALSE)</f>
        <v>18</v>
      </c>
      <c r="E302">
        <f>VLOOKUP(Table4[[#This Row],[reference]],listeMarchandises[],6,FALSE)</f>
        <v>173</v>
      </c>
      <c r="F302">
        <f>SUMIF(listeEntrées[Reference],Table4[[#This Row],[reference]],listeEntrées[Quantite])</f>
        <v>116</v>
      </c>
      <c r="G302">
        <f>SUMIF(listeSorties[Reference],Table4[[#This Row],[reference]],listeSorties[Quantite])</f>
        <v>191</v>
      </c>
      <c r="H302">
        <f>Table4[[#This Row],[stock initial]]+Table4[[#This Row],[entrees]]-Table4[[#This Row],[sorties]]</f>
        <v>98</v>
      </c>
      <c r="I302">
        <f>Table4[[#This Row],[stock final]]*(VLOOKUP(Table4[[#This Row],[reference]],listeMarchandises[],7,FALSE))</f>
        <v>46177300.119999997</v>
      </c>
      <c r="J302" t="str">
        <f>IF(Table4[[#This Row],[valeur]]&lt;=Table4[[#This Row],[seuil d''alerte]],"stock faible","stock normal")</f>
        <v>stock normal</v>
      </c>
    </row>
    <row r="303" spans="1:10" x14ac:dyDescent="0.25">
      <c r="A303" t="s">
        <v>615</v>
      </c>
      <c r="B303" t="str">
        <f>VLOOKUP(Table4[[#This Row],[reference]],listeMarchandises[],2,FALSE)</f>
        <v>Clavier arrangeur 072</v>
      </c>
      <c r="C303" t="str">
        <f>VLOOKUP(Table4[[#This Row],[reference]],listeMarchandises[],3,FALSE)</f>
        <v>Instrument de musique</v>
      </c>
      <c r="D303">
        <f>VLOOKUP(Table4[[#This Row],[reference]],listeMarchandises[],4,FALSE)</f>
        <v>9</v>
      </c>
      <c r="E303">
        <f>VLOOKUP(Table4[[#This Row],[reference]],listeMarchandises[],6,FALSE)</f>
        <v>202</v>
      </c>
      <c r="F303">
        <f>SUMIF(listeEntrées[Reference],Table4[[#This Row],[reference]],listeEntrées[Quantite])</f>
        <v>0</v>
      </c>
      <c r="G303">
        <f>SUMIF(listeSorties[Reference],Table4[[#This Row],[reference]],listeSorties[Quantite])</f>
        <v>0</v>
      </c>
      <c r="H303">
        <f>Table4[[#This Row],[stock initial]]+Table4[[#This Row],[entrees]]-Table4[[#This Row],[sorties]]</f>
        <v>202</v>
      </c>
      <c r="I303">
        <f>Table4[[#This Row],[stock final]]*(VLOOKUP(Table4[[#This Row],[reference]],listeMarchandises[],7,FALSE))</f>
        <v>66565486.219999999</v>
      </c>
      <c r="J303" t="str">
        <f>IF(Table4[[#This Row],[valeur]]&lt;=Table4[[#This Row],[seuil d''alerte]],"stock faible","stock normal")</f>
        <v>stock normal</v>
      </c>
    </row>
    <row r="304" spans="1:10" x14ac:dyDescent="0.25">
      <c r="A304" t="s">
        <v>617</v>
      </c>
      <c r="B304" t="str">
        <f>VLOOKUP(Table4[[#This Row],[reference]],listeMarchandises[],2,FALSE)</f>
        <v>Batterie electronique 073</v>
      </c>
      <c r="C304" t="str">
        <f>VLOOKUP(Table4[[#This Row],[reference]],listeMarchandises[],3,FALSE)</f>
        <v>Instrument de musique</v>
      </c>
      <c r="D304">
        <f>VLOOKUP(Table4[[#This Row],[reference]],listeMarchandises[],4,FALSE)</f>
        <v>20</v>
      </c>
      <c r="E304">
        <f>VLOOKUP(Table4[[#This Row],[reference]],listeMarchandises[],6,FALSE)</f>
        <v>101</v>
      </c>
      <c r="F304">
        <f>SUMIF(listeEntrées[Reference],Table4[[#This Row],[reference]],listeEntrées[Quantite])</f>
        <v>95</v>
      </c>
      <c r="G304">
        <f>SUMIF(listeSorties[Reference],Table4[[#This Row],[reference]],listeSorties[Quantite])</f>
        <v>0</v>
      </c>
      <c r="H304">
        <f>Table4[[#This Row],[stock initial]]+Table4[[#This Row],[entrees]]-Table4[[#This Row],[sorties]]</f>
        <v>196</v>
      </c>
      <c r="I304">
        <f>Table4[[#This Row],[stock final]]*(VLOOKUP(Table4[[#This Row],[reference]],listeMarchandises[],7,FALSE))</f>
        <v>56835327.359999992</v>
      </c>
      <c r="J304" t="str">
        <f>IF(Table4[[#This Row],[valeur]]&lt;=Table4[[#This Row],[seuil d''alerte]],"stock faible","stock normal")</f>
        <v>stock normal</v>
      </c>
    </row>
    <row r="305" spans="1:10" x14ac:dyDescent="0.25">
      <c r="A305" t="s">
        <v>619</v>
      </c>
      <c r="B305" t="str">
        <f>VLOOKUP(Table4[[#This Row],[reference]],listeMarchandises[],2,FALSE)</f>
        <v>Smartphone Nova 083</v>
      </c>
      <c r="C305" t="str">
        <f>VLOOKUP(Table4[[#This Row],[reference]],listeMarchandises[],3,FALSE)</f>
        <v>Smartphone</v>
      </c>
      <c r="D305">
        <f>VLOOKUP(Table4[[#This Row],[reference]],listeMarchandises[],4,FALSE)</f>
        <v>6</v>
      </c>
      <c r="E305">
        <f>VLOOKUP(Table4[[#This Row],[reference]],listeMarchandises[],6,FALSE)</f>
        <v>194</v>
      </c>
      <c r="F305">
        <f>SUMIF(listeEntrées[Reference],Table4[[#This Row],[reference]],listeEntrées[Quantite])</f>
        <v>10</v>
      </c>
      <c r="G305">
        <f>SUMIF(listeSorties[Reference],Table4[[#This Row],[reference]],listeSorties[Quantite])</f>
        <v>57</v>
      </c>
      <c r="H305">
        <f>Table4[[#This Row],[stock initial]]+Table4[[#This Row],[entrees]]-Table4[[#This Row],[sorties]]</f>
        <v>147</v>
      </c>
      <c r="I305">
        <f>Table4[[#This Row],[stock final]]*(VLOOKUP(Table4[[#This Row],[reference]],listeMarchandises[],7,FALSE))</f>
        <v>215436264.54000002</v>
      </c>
      <c r="J305" t="str">
        <f>IF(Table4[[#This Row],[valeur]]&lt;=Table4[[#This Row],[seuil d''alerte]],"stock faible","stock normal")</f>
        <v>stock normal</v>
      </c>
    </row>
    <row r="306" spans="1:10" x14ac:dyDescent="0.25">
      <c r="A306" t="s">
        <v>621</v>
      </c>
      <c r="B306" t="str">
        <f>VLOOKUP(Table4[[#This Row],[reference]],listeMarchandises[],2,FALSE)</f>
        <v>Groupe 12kVA 072</v>
      </c>
      <c r="C306" t="str">
        <f>VLOOKUP(Table4[[#This Row],[reference]],listeMarchandises[],3,FALSE)</f>
        <v>Groupe electrogene</v>
      </c>
      <c r="D306">
        <f>VLOOKUP(Table4[[#This Row],[reference]],listeMarchandises[],4,FALSE)</f>
        <v>11</v>
      </c>
      <c r="E306">
        <f>VLOOKUP(Table4[[#This Row],[reference]],listeMarchandises[],6,FALSE)</f>
        <v>95</v>
      </c>
      <c r="F306">
        <f>SUMIF(listeEntrées[Reference],Table4[[#This Row],[reference]],listeEntrées[Quantite])</f>
        <v>38</v>
      </c>
      <c r="G306">
        <f>SUMIF(listeSorties[Reference],Table4[[#This Row],[reference]],listeSorties[Quantite])</f>
        <v>86</v>
      </c>
      <c r="H306">
        <f>Table4[[#This Row],[stock initial]]+Table4[[#This Row],[entrees]]-Table4[[#This Row],[sorties]]</f>
        <v>47</v>
      </c>
      <c r="I306">
        <f>Table4[[#This Row],[stock final]]*(VLOOKUP(Table4[[#This Row],[reference]],listeMarchandises[],7,FALSE))</f>
        <v>100564603.73999999</v>
      </c>
      <c r="J306" t="str">
        <f>IF(Table4[[#This Row],[valeur]]&lt;=Table4[[#This Row],[seuil d''alerte]],"stock faible","stock normal")</f>
        <v>stock normal</v>
      </c>
    </row>
    <row r="307" spans="1:10" x14ac:dyDescent="0.25">
      <c r="A307" t="s">
        <v>623</v>
      </c>
      <c r="B307" t="str">
        <f>VLOOKUP(Table4[[#This Row],[reference]],listeMarchandises[],2,FALSE)</f>
        <v>Groupe silencieux 6kVA 073</v>
      </c>
      <c r="C307" t="str">
        <f>VLOOKUP(Table4[[#This Row],[reference]],listeMarchandises[],3,FALSE)</f>
        <v>Groupe electrogene</v>
      </c>
      <c r="D307">
        <f>VLOOKUP(Table4[[#This Row],[reference]],listeMarchandises[],4,FALSE)</f>
        <v>16</v>
      </c>
      <c r="E307">
        <f>VLOOKUP(Table4[[#This Row],[reference]],listeMarchandises[],6,FALSE)</f>
        <v>101</v>
      </c>
      <c r="F307">
        <f>SUMIF(listeEntrées[Reference],Table4[[#This Row],[reference]],listeEntrées[Quantite])</f>
        <v>0</v>
      </c>
      <c r="G307">
        <f>SUMIF(listeSorties[Reference],Table4[[#This Row],[reference]],listeSorties[Quantite])</f>
        <v>85</v>
      </c>
      <c r="H307">
        <f>Table4[[#This Row],[stock initial]]+Table4[[#This Row],[entrees]]-Table4[[#This Row],[sorties]]</f>
        <v>16</v>
      </c>
      <c r="I307">
        <f>Table4[[#This Row],[stock final]]*(VLOOKUP(Table4[[#This Row],[reference]],listeMarchandises[],7,FALSE))</f>
        <v>54453664.32</v>
      </c>
      <c r="J307" t="str">
        <f>IF(Table4[[#This Row],[valeur]]&lt;=Table4[[#This Row],[seuil d''alerte]],"stock faible","stock normal")</f>
        <v>stock normal</v>
      </c>
    </row>
    <row r="308" spans="1:10" x14ac:dyDescent="0.25">
      <c r="A308" t="s">
        <v>625</v>
      </c>
      <c r="B308" t="str">
        <f>VLOOKUP(Table4[[#This Row],[reference]],listeMarchandises[],2,FALSE)</f>
        <v>Batterie electronique 074</v>
      </c>
      <c r="C308" t="str">
        <f>VLOOKUP(Table4[[#This Row],[reference]],listeMarchandises[],3,FALSE)</f>
        <v>Instrument de musique</v>
      </c>
      <c r="D308">
        <f>VLOOKUP(Table4[[#This Row],[reference]],listeMarchandises[],4,FALSE)</f>
        <v>20</v>
      </c>
      <c r="E308">
        <f>VLOOKUP(Table4[[#This Row],[reference]],listeMarchandises[],6,FALSE)</f>
        <v>366</v>
      </c>
      <c r="F308">
        <f>SUMIF(listeEntrées[Reference],Table4[[#This Row],[reference]],listeEntrées[Quantite])</f>
        <v>81</v>
      </c>
      <c r="G308">
        <f>SUMIF(listeSorties[Reference],Table4[[#This Row],[reference]],listeSorties[Quantite])</f>
        <v>112</v>
      </c>
      <c r="H308">
        <f>Table4[[#This Row],[stock initial]]+Table4[[#This Row],[entrees]]-Table4[[#This Row],[sorties]]</f>
        <v>335</v>
      </c>
      <c r="I308">
        <f>Table4[[#This Row],[stock final]]*(VLOOKUP(Table4[[#This Row],[reference]],listeMarchandises[],7,FALSE))</f>
        <v>349661680.34999996</v>
      </c>
      <c r="J308" t="str">
        <f>IF(Table4[[#This Row],[valeur]]&lt;=Table4[[#This Row],[seuil d''alerte]],"stock faible","stock normal")</f>
        <v>stock normal</v>
      </c>
    </row>
    <row r="309" spans="1:10" x14ac:dyDescent="0.25">
      <c r="A309" t="s">
        <v>627</v>
      </c>
      <c r="B309" t="str">
        <f>VLOOKUP(Table4[[#This Row],[reference]],listeMarchandises[],2,FALSE)</f>
        <v>Clavier arrangeur 075</v>
      </c>
      <c r="C309" t="str">
        <f>VLOOKUP(Table4[[#This Row],[reference]],listeMarchandises[],3,FALSE)</f>
        <v>Instrument de musique</v>
      </c>
      <c r="D309">
        <f>VLOOKUP(Table4[[#This Row],[reference]],listeMarchandises[],4,FALSE)</f>
        <v>5</v>
      </c>
      <c r="E309">
        <f>VLOOKUP(Table4[[#This Row],[reference]],listeMarchandises[],6,FALSE)</f>
        <v>46</v>
      </c>
      <c r="F309">
        <f>SUMIF(listeEntrées[Reference],Table4[[#This Row],[reference]],listeEntrées[Quantite])</f>
        <v>136</v>
      </c>
      <c r="G309">
        <f>SUMIF(listeSorties[Reference],Table4[[#This Row],[reference]],listeSorties[Quantite])</f>
        <v>51</v>
      </c>
      <c r="H309">
        <f>Table4[[#This Row],[stock initial]]+Table4[[#This Row],[entrees]]-Table4[[#This Row],[sorties]]</f>
        <v>131</v>
      </c>
      <c r="I309">
        <f>Table4[[#This Row],[stock final]]*(VLOOKUP(Table4[[#This Row],[reference]],listeMarchandises[],7,FALSE))</f>
        <v>167041832.19</v>
      </c>
      <c r="J309" t="str">
        <f>IF(Table4[[#This Row],[valeur]]&lt;=Table4[[#This Row],[seuil d''alerte]],"stock faible","stock normal")</f>
        <v>stock normal</v>
      </c>
    </row>
    <row r="310" spans="1:10" x14ac:dyDescent="0.25">
      <c r="A310" t="s">
        <v>629</v>
      </c>
      <c r="B310" t="str">
        <f>VLOOKUP(Table4[[#This Row],[reference]],listeMarchandises[],2,FALSE)</f>
        <v>Smartphone Nova 084</v>
      </c>
      <c r="C310" t="str">
        <f>VLOOKUP(Table4[[#This Row],[reference]],listeMarchandises[],3,FALSE)</f>
        <v>Smartphone</v>
      </c>
      <c r="D310">
        <f>VLOOKUP(Table4[[#This Row],[reference]],listeMarchandises[],4,FALSE)</f>
        <v>8</v>
      </c>
      <c r="E310">
        <f>VLOOKUP(Table4[[#This Row],[reference]],listeMarchandises[],6,FALSE)</f>
        <v>122</v>
      </c>
      <c r="F310">
        <f>SUMIF(listeEntrées[Reference],Table4[[#This Row],[reference]],listeEntrées[Quantite])</f>
        <v>94</v>
      </c>
      <c r="G310">
        <f>SUMIF(listeSorties[Reference],Table4[[#This Row],[reference]],listeSorties[Quantite])</f>
        <v>0</v>
      </c>
      <c r="H310">
        <f>Table4[[#This Row],[stock initial]]+Table4[[#This Row],[entrees]]-Table4[[#This Row],[sorties]]</f>
        <v>216</v>
      </c>
      <c r="I310">
        <f>Table4[[#This Row],[stock final]]*(VLOOKUP(Table4[[#This Row],[reference]],listeMarchandises[],7,FALSE))</f>
        <v>264862602</v>
      </c>
      <c r="J310" t="str">
        <f>IF(Table4[[#This Row],[valeur]]&lt;=Table4[[#This Row],[seuil d''alerte]],"stock faible","stock normal")</f>
        <v>stock normal</v>
      </c>
    </row>
    <row r="311" spans="1:10" x14ac:dyDescent="0.25">
      <c r="A311" t="s">
        <v>631</v>
      </c>
      <c r="B311" t="str">
        <f>VLOOKUP(Table4[[#This Row],[reference]],listeMarchandises[],2,FALSE)</f>
        <v>Guitare acoustique 076</v>
      </c>
      <c r="C311" t="str">
        <f>VLOOKUP(Table4[[#This Row],[reference]],listeMarchandises[],3,FALSE)</f>
        <v>Instrument de musique</v>
      </c>
      <c r="D311">
        <f>VLOOKUP(Table4[[#This Row],[reference]],listeMarchandises[],4,FALSE)</f>
        <v>13</v>
      </c>
      <c r="E311">
        <f>VLOOKUP(Table4[[#This Row],[reference]],listeMarchandises[],6,FALSE)</f>
        <v>171</v>
      </c>
      <c r="F311">
        <f>SUMIF(listeEntrées[Reference],Table4[[#This Row],[reference]],listeEntrées[Quantite])</f>
        <v>72</v>
      </c>
      <c r="G311">
        <f>SUMIF(listeSorties[Reference],Table4[[#This Row],[reference]],listeSorties[Quantite])</f>
        <v>112</v>
      </c>
      <c r="H311">
        <f>Table4[[#This Row],[stock initial]]+Table4[[#This Row],[entrees]]-Table4[[#This Row],[sorties]]</f>
        <v>131</v>
      </c>
      <c r="I311">
        <f>Table4[[#This Row],[stock final]]*(VLOOKUP(Table4[[#This Row],[reference]],listeMarchandises[],7,FALSE))</f>
        <v>195042197.94</v>
      </c>
      <c r="J311" t="str">
        <f>IF(Table4[[#This Row],[valeur]]&lt;=Table4[[#This Row],[seuil d''alerte]],"stock faible","stock normal")</f>
        <v>stock normal</v>
      </c>
    </row>
    <row r="312" spans="1:10" x14ac:dyDescent="0.25">
      <c r="A312" t="s">
        <v>633</v>
      </c>
      <c r="B312" t="str">
        <f>VLOOKUP(Table4[[#This Row],[reference]],listeMarchandises[],2,FALSE)</f>
        <v>Micro-ondes 078</v>
      </c>
      <c r="C312" t="str">
        <f>VLOOKUP(Table4[[#This Row],[reference]],listeMarchandises[],3,FALSE)</f>
        <v>Electromenager</v>
      </c>
      <c r="D312">
        <f>VLOOKUP(Table4[[#This Row],[reference]],listeMarchandises[],4,FALSE)</f>
        <v>19</v>
      </c>
      <c r="E312">
        <f>VLOOKUP(Table4[[#This Row],[reference]],listeMarchandises[],6,FALSE)</f>
        <v>163</v>
      </c>
      <c r="F312">
        <f>SUMIF(listeEntrées[Reference],Table4[[#This Row],[reference]],listeEntrées[Quantite])</f>
        <v>53</v>
      </c>
      <c r="G312">
        <f>SUMIF(listeSorties[Reference],Table4[[#This Row],[reference]],listeSorties[Quantite])</f>
        <v>106</v>
      </c>
      <c r="H312">
        <f>Table4[[#This Row],[stock initial]]+Table4[[#This Row],[entrees]]-Table4[[#This Row],[sorties]]</f>
        <v>110</v>
      </c>
      <c r="I312">
        <f>Table4[[#This Row],[stock final]]*(VLOOKUP(Table4[[#This Row],[reference]],listeMarchandises[],7,FALSE))</f>
        <v>81742681.900000006</v>
      </c>
      <c r="J312" t="str">
        <f>IF(Table4[[#This Row],[valeur]]&lt;=Table4[[#This Row],[seuil d''alerte]],"stock faible","stock normal")</f>
        <v>stock normal</v>
      </c>
    </row>
    <row r="313" spans="1:10" x14ac:dyDescent="0.25">
      <c r="A313" t="s">
        <v>635</v>
      </c>
      <c r="B313" t="str">
        <f>VLOOKUP(Table4[[#This Row],[reference]],listeMarchandises[],2,FALSE)</f>
        <v>Smartphone Ultra 085</v>
      </c>
      <c r="C313" t="str">
        <f>VLOOKUP(Table4[[#This Row],[reference]],listeMarchandises[],3,FALSE)</f>
        <v>Smartphone</v>
      </c>
      <c r="D313">
        <f>VLOOKUP(Table4[[#This Row],[reference]],listeMarchandises[],4,FALSE)</f>
        <v>24</v>
      </c>
      <c r="E313">
        <f>VLOOKUP(Table4[[#This Row],[reference]],listeMarchandises[],6,FALSE)</f>
        <v>337</v>
      </c>
      <c r="F313">
        <f>SUMIF(listeEntrées[Reference],Table4[[#This Row],[reference]],listeEntrées[Quantite])</f>
        <v>0</v>
      </c>
      <c r="G313">
        <f>SUMIF(listeSorties[Reference],Table4[[#This Row],[reference]],listeSorties[Quantite])</f>
        <v>86</v>
      </c>
      <c r="H313">
        <f>Table4[[#This Row],[stock initial]]+Table4[[#This Row],[entrees]]-Table4[[#This Row],[sorties]]</f>
        <v>251</v>
      </c>
      <c r="I313">
        <f>Table4[[#This Row],[stock final]]*(VLOOKUP(Table4[[#This Row],[reference]],listeMarchandises[],7,FALSE))</f>
        <v>142771686.5</v>
      </c>
      <c r="J313" t="str">
        <f>IF(Table4[[#This Row],[valeur]]&lt;=Table4[[#This Row],[seuil d''alerte]],"stock faible","stock normal")</f>
        <v>stock normal</v>
      </c>
    </row>
    <row r="314" spans="1:10" x14ac:dyDescent="0.25">
      <c r="A314" t="s">
        <v>637</v>
      </c>
      <c r="B314" t="str">
        <f>VLOOKUP(Table4[[#This Row],[reference]],listeMarchandises[],2,FALSE)</f>
        <v>Groupe silencieux 6kVA 074</v>
      </c>
      <c r="C314" t="str">
        <f>VLOOKUP(Table4[[#This Row],[reference]],listeMarchandises[],3,FALSE)</f>
        <v>Groupe electrogene</v>
      </c>
      <c r="D314">
        <f>VLOOKUP(Table4[[#This Row],[reference]],listeMarchandises[],4,FALSE)</f>
        <v>5</v>
      </c>
      <c r="E314">
        <f>VLOOKUP(Table4[[#This Row],[reference]],listeMarchandises[],6,FALSE)</f>
        <v>140</v>
      </c>
      <c r="F314">
        <f>SUMIF(listeEntrées[Reference],Table4[[#This Row],[reference]],listeEntrées[Quantite])</f>
        <v>275</v>
      </c>
      <c r="G314">
        <f>SUMIF(listeSorties[Reference],Table4[[#This Row],[reference]],listeSorties[Quantite])</f>
        <v>243</v>
      </c>
      <c r="H314">
        <f>Table4[[#This Row],[stock initial]]+Table4[[#This Row],[entrees]]-Table4[[#This Row],[sorties]]</f>
        <v>172</v>
      </c>
      <c r="I314">
        <f>Table4[[#This Row],[stock final]]*(VLOOKUP(Table4[[#This Row],[reference]],listeMarchandises[],7,FALSE))</f>
        <v>505271221.35999995</v>
      </c>
      <c r="J314" t="str">
        <f>IF(Table4[[#This Row],[valeur]]&lt;=Table4[[#This Row],[seuil d''alerte]],"stock faible","stock normal")</f>
        <v>stock normal</v>
      </c>
    </row>
    <row r="315" spans="1:10" x14ac:dyDescent="0.25">
      <c r="A315" t="s">
        <v>639</v>
      </c>
      <c r="B315" t="str">
        <f>VLOOKUP(Table4[[#This Row],[reference]],listeMarchandises[],2,FALSE)</f>
        <v>Mixeur 079</v>
      </c>
      <c r="C315" t="str">
        <f>VLOOKUP(Table4[[#This Row],[reference]],listeMarchandises[],3,FALSE)</f>
        <v>Electromenager</v>
      </c>
      <c r="D315">
        <f>VLOOKUP(Table4[[#This Row],[reference]],listeMarchandises[],4,FALSE)</f>
        <v>25</v>
      </c>
      <c r="E315">
        <f>VLOOKUP(Table4[[#This Row],[reference]],listeMarchandises[],6,FALSE)</f>
        <v>159</v>
      </c>
      <c r="F315">
        <f>SUMIF(listeEntrées[Reference],Table4[[#This Row],[reference]],listeEntrées[Quantite])</f>
        <v>74</v>
      </c>
      <c r="G315">
        <f>SUMIF(listeSorties[Reference],Table4[[#This Row],[reference]],listeSorties[Quantite])</f>
        <v>274</v>
      </c>
      <c r="H315">
        <f>Table4[[#This Row],[stock initial]]+Table4[[#This Row],[entrees]]-Table4[[#This Row],[sorties]]</f>
        <v>-41</v>
      </c>
      <c r="I315">
        <f>Table4[[#This Row],[stock final]]*(VLOOKUP(Table4[[#This Row],[reference]],listeMarchandises[],7,FALSE))</f>
        <v>-10079874.189999999</v>
      </c>
      <c r="J315" t="str">
        <f>IF(Table4[[#This Row],[valeur]]&lt;=Table4[[#This Row],[seuil d''alerte]],"stock faible","stock normal")</f>
        <v>stock faible</v>
      </c>
    </row>
    <row r="316" spans="1:10" x14ac:dyDescent="0.25">
      <c r="A316" t="s">
        <v>641</v>
      </c>
      <c r="B316" t="str">
        <f>VLOOKUP(Table4[[#This Row],[reference]],listeMarchandises[],2,FALSE)</f>
        <v>Violon etude 077</v>
      </c>
      <c r="C316" t="str">
        <f>VLOOKUP(Table4[[#This Row],[reference]],listeMarchandises[],3,FALSE)</f>
        <v>Instrument de musique</v>
      </c>
      <c r="D316">
        <f>VLOOKUP(Table4[[#This Row],[reference]],listeMarchandises[],4,FALSE)</f>
        <v>14</v>
      </c>
      <c r="E316">
        <f>VLOOKUP(Table4[[#This Row],[reference]],listeMarchandises[],6,FALSE)</f>
        <v>136</v>
      </c>
      <c r="F316">
        <f>SUMIF(listeEntrées[Reference],Table4[[#This Row],[reference]],listeEntrées[Quantite])</f>
        <v>95</v>
      </c>
      <c r="G316">
        <f>SUMIF(listeSorties[Reference],Table4[[#This Row],[reference]],listeSorties[Quantite])</f>
        <v>76</v>
      </c>
      <c r="H316">
        <f>Table4[[#This Row],[stock initial]]+Table4[[#This Row],[entrees]]-Table4[[#This Row],[sorties]]</f>
        <v>155</v>
      </c>
      <c r="I316">
        <f>Table4[[#This Row],[stock final]]*(VLOOKUP(Table4[[#This Row],[reference]],listeMarchandises[],7,FALSE))</f>
        <v>282895441.39999998</v>
      </c>
      <c r="J316" t="str">
        <f>IF(Table4[[#This Row],[valeur]]&lt;=Table4[[#This Row],[seuil d''alerte]],"stock faible","stock normal")</f>
        <v>stock normal</v>
      </c>
    </row>
    <row r="317" spans="1:10" x14ac:dyDescent="0.25">
      <c r="A317" t="s">
        <v>643</v>
      </c>
      <c r="B317" t="str">
        <f>VLOOKUP(Table4[[#This Row],[reference]],listeMarchandises[],2,FALSE)</f>
        <v>Saxophone alto 078</v>
      </c>
      <c r="C317" t="str">
        <f>VLOOKUP(Table4[[#This Row],[reference]],listeMarchandises[],3,FALSE)</f>
        <v>Instrument de musique</v>
      </c>
      <c r="D317">
        <f>VLOOKUP(Table4[[#This Row],[reference]],listeMarchandises[],4,FALSE)</f>
        <v>19</v>
      </c>
      <c r="E317">
        <f>VLOOKUP(Table4[[#This Row],[reference]],listeMarchandises[],6,FALSE)</f>
        <v>353</v>
      </c>
      <c r="F317">
        <f>SUMIF(listeEntrées[Reference],Table4[[#This Row],[reference]],listeEntrées[Quantite])</f>
        <v>0</v>
      </c>
      <c r="G317">
        <f>SUMIF(listeSorties[Reference],Table4[[#This Row],[reference]],listeSorties[Quantite])</f>
        <v>49</v>
      </c>
      <c r="H317">
        <f>Table4[[#This Row],[stock initial]]+Table4[[#This Row],[entrees]]-Table4[[#This Row],[sorties]]</f>
        <v>304</v>
      </c>
      <c r="I317">
        <f>Table4[[#This Row],[stock final]]*(VLOOKUP(Table4[[#This Row],[reference]],listeMarchandises[],7,FALSE))</f>
        <v>373484100.48000002</v>
      </c>
      <c r="J317" t="str">
        <f>IF(Table4[[#This Row],[valeur]]&lt;=Table4[[#This Row],[seuil d''alerte]],"stock faible","stock normal")</f>
        <v>stock normal</v>
      </c>
    </row>
    <row r="318" spans="1:10" x14ac:dyDescent="0.25">
      <c r="A318" t="s">
        <v>645</v>
      </c>
      <c r="B318" t="str">
        <f>VLOOKUP(Table4[[#This Row],[reference]],listeMarchandises[],2,FALSE)</f>
        <v>Smartphone Edge 086</v>
      </c>
      <c r="C318" t="str">
        <f>VLOOKUP(Table4[[#This Row],[reference]],listeMarchandises[],3,FALSE)</f>
        <v>Smartphone</v>
      </c>
      <c r="D318">
        <f>VLOOKUP(Table4[[#This Row],[reference]],listeMarchandises[],4,FALSE)</f>
        <v>6</v>
      </c>
      <c r="E318">
        <f>VLOOKUP(Table4[[#This Row],[reference]],listeMarchandises[],6,FALSE)</f>
        <v>165</v>
      </c>
      <c r="F318">
        <f>SUMIF(listeEntrées[Reference],Table4[[#This Row],[reference]],listeEntrées[Quantite])</f>
        <v>68</v>
      </c>
      <c r="G318">
        <f>SUMIF(listeSorties[Reference],Table4[[#This Row],[reference]],listeSorties[Quantite])</f>
        <v>0</v>
      </c>
      <c r="H318">
        <f>Table4[[#This Row],[stock initial]]+Table4[[#This Row],[entrees]]-Table4[[#This Row],[sorties]]</f>
        <v>233</v>
      </c>
      <c r="I318">
        <f>Table4[[#This Row],[stock final]]*(VLOOKUP(Table4[[#This Row],[reference]],listeMarchandises[],7,FALSE))</f>
        <v>229528691.44</v>
      </c>
      <c r="J318" t="str">
        <f>IF(Table4[[#This Row],[valeur]]&lt;=Table4[[#This Row],[seuil d''alerte]],"stock faible","stock normal")</f>
        <v>stock normal</v>
      </c>
    </row>
    <row r="319" spans="1:10" x14ac:dyDescent="0.25">
      <c r="A319" t="s">
        <v>647</v>
      </c>
      <c r="B319" t="str">
        <f>VLOOKUP(Table4[[#This Row],[reference]],listeMarchandises[],2,FALSE)</f>
        <v>Violon etude 079</v>
      </c>
      <c r="C319" t="str">
        <f>VLOOKUP(Table4[[#This Row],[reference]],listeMarchandises[],3,FALSE)</f>
        <v>Instrument de musique</v>
      </c>
      <c r="D319">
        <f>VLOOKUP(Table4[[#This Row],[reference]],listeMarchandises[],4,FALSE)</f>
        <v>13</v>
      </c>
      <c r="E319">
        <f>VLOOKUP(Table4[[#This Row],[reference]],listeMarchandises[],6,FALSE)</f>
        <v>266</v>
      </c>
      <c r="F319">
        <f>SUMIF(listeEntrées[Reference],Table4[[#This Row],[reference]],listeEntrées[Quantite])</f>
        <v>221</v>
      </c>
      <c r="G319">
        <f>SUMIF(listeSorties[Reference],Table4[[#This Row],[reference]],listeSorties[Quantite])</f>
        <v>104</v>
      </c>
      <c r="H319">
        <f>Table4[[#This Row],[stock initial]]+Table4[[#This Row],[entrees]]-Table4[[#This Row],[sorties]]</f>
        <v>383</v>
      </c>
      <c r="I319">
        <f>Table4[[#This Row],[stock final]]*(VLOOKUP(Table4[[#This Row],[reference]],listeMarchandises[],7,FALSE))</f>
        <v>685942065.35000002</v>
      </c>
      <c r="J319" t="str">
        <f>IF(Table4[[#This Row],[valeur]]&lt;=Table4[[#This Row],[seuil d''alerte]],"stock faible","stock normal")</f>
        <v>stock normal</v>
      </c>
    </row>
    <row r="320" spans="1:10" x14ac:dyDescent="0.25">
      <c r="A320" t="s">
        <v>649</v>
      </c>
      <c r="B320" t="str">
        <f>VLOOKUP(Table4[[#This Row],[reference]],listeMarchandises[],2,FALSE)</f>
        <v>Smartphone Lite 087</v>
      </c>
      <c r="C320" t="str">
        <f>VLOOKUP(Table4[[#This Row],[reference]],listeMarchandises[],3,FALSE)</f>
        <v>Smartphone</v>
      </c>
      <c r="D320">
        <f>VLOOKUP(Table4[[#This Row],[reference]],listeMarchandises[],4,FALSE)</f>
        <v>7</v>
      </c>
      <c r="E320">
        <f>VLOOKUP(Table4[[#This Row],[reference]],listeMarchandises[],6,FALSE)</f>
        <v>63</v>
      </c>
      <c r="F320">
        <f>SUMIF(listeEntrées[Reference],Table4[[#This Row],[reference]],listeEntrées[Quantite])</f>
        <v>87</v>
      </c>
      <c r="G320">
        <f>SUMIF(listeSorties[Reference],Table4[[#This Row],[reference]],listeSorties[Quantite])</f>
        <v>0</v>
      </c>
      <c r="H320">
        <f>Table4[[#This Row],[stock initial]]+Table4[[#This Row],[entrees]]-Table4[[#This Row],[sorties]]</f>
        <v>150</v>
      </c>
      <c r="I320">
        <f>Table4[[#This Row],[stock final]]*(VLOOKUP(Table4[[#This Row],[reference]],listeMarchandises[],7,FALSE))</f>
        <v>87642459.000000015</v>
      </c>
      <c r="J320" t="str">
        <f>IF(Table4[[#This Row],[valeur]]&lt;=Table4[[#This Row],[seuil d''alerte]],"stock faible","stock normal")</f>
        <v>stock normal</v>
      </c>
    </row>
    <row r="321" spans="1:10" x14ac:dyDescent="0.25">
      <c r="A321" t="s">
        <v>651</v>
      </c>
      <c r="B321" t="str">
        <f>VLOOKUP(Table4[[#This Row],[reference]],listeMarchandises[],2,FALSE)</f>
        <v>Refrigerateur 080</v>
      </c>
      <c r="C321" t="str">
        <f>VLOOKUP(Table4[[#This Row],[reference]],listeMarchandises[],3,FALSE)</f>
        <v>Electromenager</v>
      </c>
      <c r="D321">
        <f>VLOOKUP(Table4[[#This Row],[reference]],listeMarchandises[],4,FALSE)</f>
        <v>24</v>
      </c>
      <c r="E321">
        <f>VLOOKUP(Table4[[#This Row],[reference]],listeMarchandises[],6,FALSE)</f>
        <v>218</v>
      </c>
      <c r="F321">
        <f>SUMIF(listeEntrées[Reference],Table4[[#This Row],[reference]],listeEntrées[Quantite])</f>
        <v>208</v>
      </c>
      <c r="G321">
        <f>SUMIF(listeSorties[Reference],Table4[[#This Row],[reference]],listeSorties[Quantite])</f>
        <v>145</v>
      </c>
      <c r="H321">
        <f>Table4[[#This Row],[stock initial]]+Table4[[#This Row],[entrees]]-Table4[[#This Row],[sorties]]</f>
        <v>281</v>
      </c>
      <c r="I321">
        <f>Table4[[#This Row],[stock final]]*(VLOOKUP(Table4[[#This Row],[reference]],listeMarchandises[],7,FALSE))</f>
        <v>147651421.90000001</v>
      </c>
      <c r="J321" t="str">
        <f>IF(Table4[[#This Row],[valeur]]&lt;=Table4[[#This Row],[seuil d''alerte]],"stock faible","stock normal")</f>
        <v>stock normal</v>
      </c>
    </row>
    <row r="322" spans="1:10" x14ac:dyDescent="0.25">
      <c r="A322" t="s">
        <v>653</v>
      </c>
      <c r="B322" t="str">
        <f>VLOOKUP(Table4[[#This Row],[reference]],listeMarchandises[],2,FALSE)</f>
        <v>Mixeur 081</v>
      </c>
      <c r="C322" t="str">
        <f>VLOOKUP(Table4[[#This Row],[reference]],listeMarchandises[],3,FALSE)</f>
        <v>Electromenager</v>
      </c>
      <c r="D322">
        <f>VLOOKUP(Table4[[#This Row],[reference]],listeMarchandises[],4,FALSE)</f>
        <v>21</v>
      </c>
      <c r="E322">
        <f>VLOOKUP(Table4[[#This Row],[reference]],listeMarchandises[],6,FALSE)</f>
        <v>180</v>
      </c>
      <c r="F322">
        <f>SUMIF(listeEntrées[Reference],Table4[[#This Row],[reference]],listeEntrées[Quantite])</f>
        <v>194</v>
      </c>
      <c r="G322">
        <f>SUMIF(listeSorties[Reference],Table4[[#This Row],[reference]],listeSorties[Quantite])</f>
        <v>115</v>
      </c>
      <c r="H322">
        <f>Table4[[#This Row],[stock initial]]+Table4[[#This Row],[entrees]]-Table4[[#This Row],[sorties]]</f>
        <v>259</v>
      </c>
      <c r="I322">
        <f>Table4[[#This Row],[stock final]]*(VLOOKUP(Table4[[#This Row],[reference]],listeMarchandises[],7,FALSE))</f>
        <v>264230424.70999998</v>
      </c>
      <c r="J322" t="str">
        <f>IF(Table4[[#This Row],[valeur]]&lt;=Table4[[#This Row],[seuil d''alerte]],"stock faible","stock normal")</f>
        <v>stock normal</v>
      </c>
    </row>
    <row r="323" spans="1:10" x14ac:dyDescent="0.25">
      <c r="A323" t="s">
        <v>655</v>
      </c>
      <c r="B323" t="str">
        <f>VLOOKUP(Table4[[#This Row],[reference]],listeMarchandises[],2,FALSE)</f>
        <v>Piano numerique 080</v>
      </c>
      <c r="C323" t="str">
        <f>VLOOKUP(Table4[[#This Row],[reference]],listeMarchandises[],3,FALSE)</f>
        <v>Instrument de musique</v>
      </c>
      <c r="D323">
        <f>VLOOKUP(Table4[[#This Row],[reference]],listeMarchandises[],4,FALSE)</f>
        <v>24</v>
      </c>
      <c r="E323">
        <f>VLOOKUP(Table4[[#This Row],[reference]],listeMarchandises[],6,FALSE)</f>
        <v>258</v>
      </c>
      <c r="F323">
        <f>SUMIF(listeEntrées[Reference],Table4[[#This Row],[reference]],listeEntrées[Quantite])</f>
        <v>44</v>
      </c>
      <c r="G323">
        <f>SUMIF(listeSorties[Reference],Table4[[#This Row],[reference]],listeSorties[Quantite])</f>
        <v>69</v>
      </c>
      <c r="H323">
        <f>Table4[[#This Row],[stock initial]]+Table4[[#This Row],[entrees]]-Table4[[#This Row],[sorties]]</f>
        <v>233</v>
      </c>
      <c r="I323">
        <f>Table4[[#This Row],[stock final]]*(VLOOKUP(Table4[[#This Row],[reference]],listeMarchandises[],7,FALSE))</f>
        <v>183309399.46000001</v>
      </c>
      <c r="J323" t="str">
        <f>IF(Table4[[#This Row],[valeur]]&lt;=Table4[[#This Row],[seuil d''alerte]],"stock faible","stock normal")</f>
        <v>stock normal</v>
      </c>
    </row>
    <row r="324" spans="1:10" x14ac:dyDescent="0.25">
      <c r="A324" t="s">
        <v>657</v>
      </c>
      <c r="B324" t="str">
        <f>VLOOKUP(Table4[[#This Row],[reference]],listeMarchandises[],2,FALSE)</f>
        <v>Guitare acoustique 081</v>
      </c>
      <c r="C324" t="str">
        <f>VLOOKUP(Table4[[#This Row],[reference]],listeMarchandises[],3,FALSE)</f>
        <v>Instrument de musique</v>
      </c>
      <c r="D324">
        <f>VLOOKUP(Table4[[#This Row],[reference]],listeMarchandises[],4,FALSE)</f>
        <v>5</v>
      </c>
      <c r="E324">
        <f>VLOOKUP(Table4[[#This Row],[reference]],listeMarchandises[],6,FALSE)</f>
        <v>35</v>
      </c>
      <c r="F324">
        <f>SUMIF(listeEntrées[Reference],Table4[[#This Row],[reference]],listeEntrées[Quantite])</f>
        <v>189</v>
      </c>
      <c r="G324">
        <f>SUMIF(listeSorties[Reference],Table4[[#This Row],[reference]],listeSorties[Quantite])</f>
        <v>119</v>
      </c>
      <c r="H324">
        <f>Table4[[#This Row],[stock initial]]+Table4[[#This Row],[entrees]]-Table4[[#This Row],[sorties]]</f>
        <v>105</v>
      </c>
      <c r="I324">
        <f>Table4[[#This Row],[stock final]]*(VLOOKUP(Table4[[#This Row],[reference]],listeMarchandises[],7,FALSE))</f>
        <v>91794252.899999991</v>
      </c>
      <c r="J324" t="str">
        <f>IF(Table4[[#This Row],[valeur]]&lt;=Table4[[#This Row],[seuil d''alerte]],"stock faible","stock normal")</f>
        <v>stock normal</v>
      </c>
    </row>
    <row r="325" spans="1:10" x14ac:dyDescent="0.25">
      <c r="A325" t="s">
        <v>659</v>
      </c>
      <c r="B325" t="str">
        <f>VLOOKUP(Table4[[#This Row],[reference]],listeMarchandises[],2,FALSE)</f>
        <v>Aspirateur 082</v>
      </c>
      <c r="C325" t="str">
        <f>VLOOKUP(Table4[[#This Row],[reference]],listeMarchandises[],3,FALSE)</f>
        <v>Electromenager</v>
      </c>
      <c r="D325">
        <f>VLOOKUP(Table4[[#This Row],[reference]],listeMarchandises[],4,FALSE)</f>
        <v>11</v>
      </c>
      <c r="E325">
        <f>VLOOKUP(Table4[[#This Row],[reference]],listeMarchandises[],6,FALSE)</f>
        <v>194</v>
      </c>
      <c r="F325">
        <f>SUMIF(listeEntrées[Reference],Table4[[#This Row],[reference]],listeEntrées[Quantite])</f>
        <v>109</v>
      </c>
      <c r="G325">
        <f>SUMIF(listeSorties[Reference],Table4[[#This Row],[reference]],listeSorties[Quantite])</f>
        <v>79</v>
      </c>
      <c r="H325">
        <f>Table4[[#This Row],[stock initial]]+Table4[[#This Row],[entrees]]-Table4[[#This Row],[sorties]]</f>
        <v>224</v>
      </c>
      <c r="I325">
        <f>Table4[[#This Row],[stock final]]*(VLOOKUP(Table4[[#This Row],[reference]],listeMarchandises[],7,FALSE))</f>
        <v>266455994.56</v>
      </c>
      <c r="J325" t="str">
        <f>IF(Table4[[#This Row],[valeur]]&lt;=Table4[[#This Row],[seuil d''alerte]],"stock faible","stock normal")</f>
        <v>stock normal</v>
      </c>
    </row>
    <row r="326" spans="1:10" x14ac:dyDescent="0.25">
      <c r="A326" t="s">
        <v>661</v>
      </c>
      <c r="B326" t="str">
        <f>VLOOKUP(Table4[[#This Row],[reference]],listeMarchandises[],2,FALSE)</f>
        <v>Groupe 8kVA 075</v>
      </c>
      <c r="C326" t="str">
        <f>VLOOKUP(Table4[[#This Row],[reference]],listeMarchandises[],3,FALSE)</f>
        <v>Groupe electrogene</v>
      </c>
      <c r="D326">
        <f>VLOOKUP(Table4[[#This Row],[reference]],listeMarchandises[],4,FALSE)</f>
        <v>9</v>
      </c>
      <c r="E326">
        <f>VLOOKUP(Table4[[#This Row],[reference]],listeMarchandises[],6,FALSE)</f>
        <v>133</v>
      </c>
      <c r="F326">
        <f>SUMIF(listeEntrées[Reference],Table4[[#This Row],[reference]],listeEntrées[Quantite])</f>
        <v>190</v>
      </c>
      <c r="G326">
        <f>SUMIF(listeSorties[Reference],Table4[[#This Row],[reference]],listeSorties[Quantite])</f>
        <v>98</v>
      </c>
      <c r="H326">
        <f>Table4[[#This Row],[stock initial]]+Table4[[#This Row],[entrees]]-Table4[[#This Row],[sorties]]</f>
        <v>225</v>
      </c>
      <c r="I326">
        <f>Table4[[#This Row],[stock final]]*(VLOOKUP(Table4[[#This Row],[reference]],listeMarchandises[],7,FALSE))</f>
        <v>762715030.5</v>
      </c>
      <c r="J326" t="str">
        <f>IF(Table4[[#This Row],[valeur]]&lt;=Table4[[#This Row],[seuil d''alerte]],"stock faible","stock normal")</f>
        <v>stock normal</v>
      </c>
    </row>
    <row r="327" spans="1:10" x14ac:dyDescent="0.25">
      <c r="A327" t="s">
        <v>663</v>
      </c>
      <c r="B327" t="str">
        <f>VLOOKUP(Table4[[#This Row],[reference]],listeMarchandises[],2,FALSE)</f>
        <v>Smartphone Alpha 088</v>
      </c>
      <c r="C327" t="str">
        <f>VLOOKUP(Table4[[#This Row],[reference]],listeMarchandises[],3,FALSE)</f>
        <v>Smartphone</v>
      </c>
      <c r="D327">
        <f>VLOOKUP(Table4[[#This Row],[reference]],listeMarchandises[],4,FALSE)</f>
        <v>21</v>
      </c>
      <c r="E327">
        <f>VLOOKUP(Table4[[#This Row],[reference]],listeMarchandises[],6,FALSE)</f>
        <v>208</v>
      </c>
      <c r="F327">
        <f>SUMIF(listeEntrées[Reference],Table4[[#This Row],[reference]],listeEntrées[Quantite])</f>
        <v>258</v>
      </c>
      <c r="G327">
        <f>SUMIF(listeSorties[Reference],Table4[[#This Row],[reference]],listeSorties[Quantite])</f>
        <v>0</v>
      </c>
      <c r="H327">
        <f>Table4[[#This Row],[stock initial]]+Table4[[#This Row],[entrees]]-Table4[[#This Row],[sorties]]</f>
        <v>466</v>
      </c>
      <c r="I327">
        <f>Table4[[#This Row],[stock final]]*(VLOOKUP(Table4[[#This Row],[reference]],listeMarchandises[],7,FALSE))</f>
        <v>657274099.03999996</v>
      </c>
      <c r="J327" t="str">
        <f>IF(Table4[[#This Row],[valeur]]&lt;=Table4[[#This Row],[seuil d''alerte]],"stock faible","stock normal")</f>
        <v>stock normal</v>
      </c>
    </row>
    <row r="328" spans="1:10" x14ac:dyDescent="0.25">
      <c r="A328" t="s">
        <v>665</v>
      </c>
      <c r="B328" t="str">
        <f>VLOOKUP(Table4[[#This Row],[reference]],listeMarchandises[],2,FALSE)</f>
        <v>Smartphone Ultra 089</v>
      </c>
      <c r="C328" t="str">
        <f>VLOOKUP(Table4[[#This Row],[reference]],listeMarchandises[],3,FALSE)</f>
        <v>Smartphone</v>
      </c>
      <c r="D328">
        <f>VLOOKUP(Table4[[#This Row],[reference]],listeMarchandises[],4,FALSE)</f>
        <v>9</v>
      </c>
      <c r="E328">
        <f>VLOOKUP(Table4[[#This Row],[reference]],listeMarchandises[],6,FALSE)</f>
        <v>203</v>
      </c>
      <c r="F328">
        <f>SUMIF(listeEntrées[Reference],Table4[[#This Row],[reference]],listeEntrées[Quantite])</f>
        <v>136</v>
      </c>
      <c r="G328">
        <f>SUMIF(listeSorties[Reference],Table4[[#This Row],[reference]],listeSorties[Quantite])</f>
        <v>192</v>
      </c>
      <c r="H328">
        <f>Table4[[#This Row],[stock initial]]+Table4[[#This Row],[entrees]]-Table4[[#This Row],[sorties]]</f>
        <v>147</v>
      </c>
      <c r="I328">
        <f>Table4[[#This Row],[stock final]]*(VLOOKUP(Table4[[#This Row],[reference]],listeMarchandises[],7,FALSE))</f>
        <v>68892280.589999989</v>
      </c>
      <c r="J328" t="str">
        <f>IF(Table4[[#This Row],[valeur]]&lt;=Table4[[#This Row],[seuil d''alerte]],"stock faible","stock normal")</f>
        <v>stock normal</v>
      </c>
    </row>
    <row r="329" spans="1:10" x14ac:dyDescent="0.25">
      <c r="A329" t="s">
        <v>667</v>
      </c>
      <c r="B329" t="str">
        <f>VLOOKUP(Table4[[#This Row],[reference]],listeMarchandises[],2,FALSE)</f>
        <v>Groupe 8kVA 076</v>
      </c>
      <c r="C329" t="str">
        <f>VLOOKUP(Table4[[#This Row],[reference]],listeMarchandises[],3,FALSE)</f>
        <v>Groupe electrogene</v>
      </c>
      <c r="D329">
        <f>VLOOKUP(Table4[[#This Row],[reference]],listeMarchandises[],4,FALSE)</f>
        <v>19</v>
      </c>
      <c r="E329">
        <f>VLOOKUP(Table4[[#This Row],[reference]],listeMarchandises[],6,FALSE)</f>
        <v>303</v>
      </c>
      <c r="F329">
        <f>SUMIF(listeEntrées[Reference],Table4[[#This Row],[reference]],listeEntrées[Quantite])</f>
        <v>0</v>
      </c>
      <c r="G329">
        <f>SUMIF(listeSorties[Reference],Table4[[#This Row],[reference]],listeSorties[Quantite])</f>
        <v>79</v>
      </c>
      <c r="H329">
        <f>Table4[[#This Row],[stock initial]]+Table4[[#This Row],[entrees]]-Table4[[#This Row],[sorties]]</f>
        <v>224</v>
      </c>
      <c r="I329">
        <f>Table4[[#This Row],[stock final]]*(VLOOKUP(Table4[[#This Row],[reference]],listeMarchandises[],7,FALSE))</f>
        <v>824106548.15999997</v>
      </c>
      <c r="J329" t="str">
        <f>IF(Table4[[#This Row],[valeur]]&lt;=Table4[[#This Row],[seuil d''alerte]],"stock faible","stock normal")</f>
        <v>stock normal</v>
      </c>
    </row>
    <row r="330" spans="1:10" x14ac:dyDescent="0.25">
      <c r="A330" t="s">
        <v>669</v>
      </c>
      <c r="B330" t="str">
        <f>VLOOKUP(Table4[[#This Row],[reference]],listeMarchandises[],2,FALSE)</f>
        <v>Smartphone Alpha 090</v>
      </c>
      <c r="C330" t="str">
        <f>VLOOKUP(Table4[[#This Row],[reference]],listeMarchandises[],3,FALSE)</f>
        <v>Smartphone</v>
      </c>
      <c r="D330">
        <f>VLOOKUP(Table4[[#This Row],[reference]],listeMarchandises[],4,FALSE)</f>
        <v>19</v>
      </c>
      <c r="E330">
        <f>VLOOKUP(Table4[[#This Row],[reference]],listeMarchandises[],6,FALSE)</f>
        <v>282</v>
      </c>
      <c r="F330">
        <f>SUMIF(listeEntrées[Reference],Table4[[#This Row],[reference]],listeEntrées[Quantite])</f>
        <v>52</v>
      </c>
      <c r="G330">
        <f>SUMIF(listeSorties[Reference],Table4[[#This Row],[reference]],listeSorties[Quantite])</f>
        <v>103</v>
      </c>
      <c r="H330">
        <f>Table4[[#This Row],[stock initial]]+Table4[[#This Row],[entrees]]-Table4[[#This Row],[sorties]]</f>
        <v>231</v>
      </c>
      <c r="I330">
        <f>Table4[[#This Row],[stock final]]*(VLOOKUP(Table4[[#This Row],[reference]],listeMarchandises[],7,FALSE))</f>
        <v>19043563.77</v>
      </c>
      <c r="J330" t="str">
        <f>IF(Table4[[#This Row],[valeur]]&lt;=Table4[[#This Row],[seuil d''alerte]],"stock faible","stock normal")</f>
        <v>stock normal</v>
      </c>
    </row>
    <row r="331" spans="1:10" x14ac:dyDescent="0.25">
      <c r="A331" t="s">
        <v>671</v>
      </c>
      <c r="B331" t="str">
        <f>VLOOKUP(Table4[[#This Row],[reference]],listeMarchandises[],2,FALSE)</f>
        <v>Clavier arrangeur 082</v>
      </c>
      <c r="C331" t="str">
        <f>VLOOKUP(Table4[[#This Row],[reference]],listeMarchandises[],3,FALSE)</f>
        <v>Instrument de musique</v>
      </c>
      <c r="D331">
        <f>VLOOKUP(Table4[[#This Row],[reference]],listeMarchandises[],4,FALSE)</f>
        <v>3</v>
      </c>
      <c r="E331">
        <f>VLOOKUP(Table4[[#This Row],[reference]],listeMarchandises[],6,FALSE)</f>
        <v>55</v>
      </c>
      <c r="F331">
        <f>SUMIF(listeEntrées[Reference],Table4[[#This Row],[reference]],listeEntrées[Quantite])</f>
        <v>10</v>
      </c>
      <c r="G331">
        <f>SUMIF(listeSorties[Reference],Table4[[#This Row],[reference]],listeSorties[Quantite])</f>
        <v>120</v>
      </c>
      <c r="H331">
        <f>Table4[[#This Row],[stock initial]]+Table4[[#This Row],[entrees]]-Table4[[#This Row],[sorties]]</f>
        <v>-55</v>
      </c>
      <c r="I331">
        <f>Table4[[#This Row],[stock final]]*(VLOOKUP(Table4[[#This Row],[reference]],listeMarchandises[],7,FALSE))</f>
        <v>-17492388.099999998</v>
      </c>
      <c r="J331" t="str">
        <f>IF(Table4[[#This Row],[valeur]]&lt;=Table4[[#This Row],[seuil d''alerte]],"stock faible","stock normal")</f>
        <v>stock faible</v>
      </c>
    </row>
    <row r="332" spans="1:10" x14ac:dyDescent="0.25">
      <c r="A332" t="s">
        <v>673</v>
      </c>
      <c r="B332" t="str">
        <f>VLOOKUP(Table4[[#This Row],[reference]],listeMarchandises[],2,FALSE)</f>
        <v>Smartphone Ultra 091</v>
      </c>
      <c r="C332" t="str">
        <f>VLOOKUP(Table4[[#This Row],[reference]],listeMarchandises[],3,FALSE)</f>
        <v>Smartphone</v>
      </c>
      <c r="D332">
        <f>VLOOKUP(Table4[[#This Row],[reference]],listeMarchandises[],4,FALSE)</f>
        <v>19</v>
      </c>
      <c r="E332">
        <f>VLOOKUP(Table4[[#This Row],[reference]],listeMarchandises[],6,FALSE)</f>
        <v>93</v>
      </c>
      <c r="F332">
        <f>SUMIF(listeEntrées[Reference],Table4[[#This Row],[reference]],listeEntrées[Quantite])</f>
        <v>97</v>
      </c>
      <c r="G332">
        <f>SUMIF(listeSorties[Reference],Table4[[#This Row],[reference]],listeSorties[Quantite])</f>
        <v>0</v>
      </c>
      <c r="H332">
        <f>Table4[[#This Row],[stock initial]]+Table4[[#This Row],[entrees]]-Table4[[#This Row],[sorties]]</f>
        <v>190</v>
      </c>
      <c r="I332">
        <f>Table4[[#This Row],[stock final]]*(VLOOKUP(Table4[[#This Row],[reference]],listeMarchandises[],7,FALSE))</f>
        <v>159395026.09999999</v>
      </c>
      <c r="J332" t="str">
        <f>IF(Table4[[#This Row],[valeur]]&lt;=Table4[[#This Row],[seuil d''alerte]],"stock faible","stock normal")</f>
        <v>stock normal</v>
      </c>
    </row>
    <row r="333" spans="1:10" x14ac:dyDescent="0.25">
      <c r="A333" t="s">
        <v>675</v>
      </c>
      <c r="B333" t="str">
        <f>VLOOKUP(Table4[[#This Row],[reference]],listeMarchandises[],2,FALSE)</f>
        <v>Batterie electronique 083</v>
      </c>
      <c r="C333" t="str">
        <f>VLOOKUP(Table4[[#This Row],[reference]],listeMarchandises[],3,FALSE)</f>
        <v>Instrument de musique</v>
      </c>
      <c r="D333">
        <f>VLOOKUP(Table4[[#This Row],[reference]],listeMarchandises[],4,FALSE)</f>
        <v>17</v>
      </c>
      <c r="E333">
        <f>VLOOKUP(Table4[[#This Row],[reference]],listeMarchandises[],6,FALSE)</f>
        <v>106</v>
      </c>
      <c r="F333">
        <f>SUMIF(listeEntrées[Reference],Table4[[#This Row],[reference]],listeEntrées[Quantite])</f>
        <v>123</v>
      </c>
      <c r="G333">
        <f>SUMIF(listeSorties[Reference],Table4[[#This Row],[reference]],listeSorties[Quantite])</f>
        <v>156</v>
      </c>
      <c r="H333">
        <f>Table4[[#This Row],[stock initial]]+Table4[[#This Row],[entrees]]-Table4[[#This Row],[sorties]]</f>
        <v>73</v>
      </c>
      <c r="I333">
        <f>Table4[[#This Row],[stock final]]*(VLOOKUP(Table4[[#This Row],[reference]],listeMarchandises[],7,FALSE))</f>
        <v>34404668.590000004</v>
      </c>
      <c r="J333" t="str">
        <f>IF(Table4[[#This Row],[valeur]]&lt;=Table4[[#This Row],[seuil d''alerte]],"stock faible","stock normal")</f>
        <v>stock normal</v>
      </c>
    </row>
    <row r="334" spans="1:10" x14ac:dyDescent="0.25">
      <c r="A334" t="s">
        <v>677</v>
      </c>
      <c r="B334" t="str">
        <f>VLOOKUP(Table4[[#This Row],[reference]],listeMarchandises[],2,FALSE)</f>
        <v>Groupe 8kVA 077</v>
      </c>
      <c r="C334" t="str">
        <f>VLOOKUP(Table4[[#This Row],[reference]],listeMarchandises[],3,FALSE)</f>
        <v>Groupe electrogene</v>
      </c>
      <c r="D334">
        <f>VLOOKUP(Table4[[#This Row],[reference]],listeMarchandises[],4,FALSE)</f>
        <v>23</v>
      </c>
      <c r="E334">
        <f>VLOOKUP(Table4[[#This Row],[reference]],listeMarchandises[],6,FALSE)</f>
        <v>165</v>
      </c>
      <c r="F334">
        <f>SUMIF(listeEntrées[Reference],Table4[[#This Row],[reference]],listeEntrées[Quantite])</f>
        <v>37</v>
      </c>
      <c r="G334">
        <f>SUMIF(listeSorties[Reference],Table4[[#This Row],[reference]],listeSorties[Quantite])</f>
        <v>63</v>
      </c>
      <c r="H334">
        <f>Table4[[#This Row],[stock initial]]+Table4[[#This Row],[entrees]]-Table4[[#This Row],[sorties]]</f>
        <v>139</v>
      </c>
      <c r="I334">
        <f>Table4[[#This Row],[stock final]]*(VLOOKUP(Table4[[#This Row],[reference]],listeMarchandises[],7,FALSE))</f>
        <v>68035072.049999997</v>
      </c>
      <c r="J334" t="str">
        <f>IF(Table4[[#This Row],[valeur]]&lt;=Table4[[#This Row],[seuil d''alerte]],"stock faible","stock normal")</f>
        <v>stock normal</v>
      </c>
    </row>
    <row r="335" spans="1:10" x14ac:dyDescent="0.25">
      <c r="A335" t="s">
        <v>679</v>
      </c>
      <c r="B335" t="str">
        <f>VLOOKUP(Table4[[#This Row],[reference]],listeMarchandises[],2,FALSE)</f>
        <v>Saxophone alto 084</v>
      </c>
      <c r="C335" t="str">
        <f>VLOOKUP(Table4[[#This Row],[reference]],listeMarchandises[],3,FALSE)</f>
        <v>Instrument de musique</v>
      </c>
      <c r="D335">
        <f>VLOOKUP(Table4[[#This Row],[reference]],listeMarchandises[],4,FALSE)</f>
        <v>9</v>
      </c>
      <c r="E335">
        <f>VLOOKUP(Table4[[#This Row],[reference]],listeMarchandises[],6,FALSE)</f>
        <v>18</v>
      </c>
      <c r="F335">
        <f>SUMIF(listeEntrées[Reference],Table4[[#This Row],[reference]],listeEntrées[Quantite])</f>
        <v>0</v>
      </c>
      <c r="G335">
        <f>SUMIF(listeSorties[Reference],Table4[[#This Row],[reference]],listeSorties[Quantite])</f>
        <v>206</v>
      </c>
      <c r="H335">
        <f>Table4[[#This Row],[stock initial]]+Table4[[#This Row],[entrees]]-Table4[[#This Row],[sorties]]</f>
        <v>-188</v>
      </c>
      <c r="I335">
        <f>Table4[[#This Row],[stock final]]*(VLOOKUP(Table4[[#This Row],[reference]],listeMarchandises[],7,FALSE))</f>
        <v>-314973763.68000001</v>
      </c>
      <c r="J335" t="str">
        <f>IF(Table4[[#This Row],[valeur]]&lt;=Table4[[#This Row],[seuil d''alerte]],"stock faible","stock normal")</f>
        <v>stock faible</v>
      </c>
    </row>
    <row r="336" spans="1:10" x14ac:dyDescent="0.25">
      <c r="A336" t="s">
        <v>681</v>
      </c>
      <c r="B336" t="str">
        <f>VLOOKUP(Table4[[#This Row],[reference]],listeMarchandises[],2,FALSE)</f>
        <v>Groupe 12kVA 078</v>
      </c>
      <c r="C336" t="str">
        <f>VLOOKUP(Table4[[#This Row],[reference]],listeMarchandises[],3,FALSE)</f>
        <v>Groupe electrogene</v>
      </c>
      <c r="D336">
        <f>VLOOKUP(Table4[[#This Row],[reference]],listeMarchandises[],4,FALSE)</f>
        <v>11</v>
      </c>
      <c r="E336">
        <f>VLOOKUP(Table4[[#This Row],[reference]],listeMarchandises[],6,FALSE)</f>
        <v>225</v>
      </c>
      <c r="F336">
        <f>SUMIF(listeEntrées[Reference],Table4[[#This Row],[reference]],listeEntrées[Quantite])</f>
        <v>0</v>
      </c>
      <c r="G336">
        <f>SUMIF(listeSorties[Reference],Table4[[#This Row],[reference]],listeSorties[Quantite])</f>
        <v>119</v>
      </c>
      <c r="H336">
        <f>Table4[[#This Row],[stock initial]]+Table4[[#This Row],[entrees]]-Table4[[#This Row],[sorties]]</f>
        <v>106</v>
      </c>
      <c r="I336">
        <f>Table4[[#This Row],[stock final]]*(VLOOKUP(Table4[[#This Row],[reference]],listeMarchandises[],7,FALSE))</f>
        <v>278617080.12</v>
      </c>
      <c r="J336" t="str">
        <f>IF(Table4[[#This Row],[valeur]]&lt;=Table4[[#This Row],[seuil d''alerte]],"stock faible","stock normal")</f>
        <v>stock normal</v>
      </c>
    </row>
    <row r="337" spans="1:10" x14ac:dyDescent="0.25">
      <c r="A337" t="s">
        <v>683</v>
      </c>
      <c r="B337" t="str">
        <f>VLOOKUP(Table4[[#This Row],[reference]],listeMarchandises[],2,FALSE)</f>
        <v>Smartphone Alpha 092</v>
      </c>
      <c r="C337" t="str">
        <f>VLOOKUP(Table4[[#This Row],[reference]],listeMarchandises[],3,FALSE)</f>
        <v>Smartphone</v>
      </c>
      <c r="D337">
        <f>VLOOKUP(Table4[[#This Row],[reference]],listeMarchandises[],4,FALSE)</f>
        <v>23</v>
      </c>
      <c r="E337">
        <f>VLOOKUP(Table4[[#This Row],[reference]],listeMarchandises[],6,FALSE)</f>
        <v>212</v>
      </c>
      <c r="F337">
        <f>SUMIF(listeEntrées[Reference],Table4[[#This Row],[reference]],listeEntrées[Quantite])</f>
        <v>93</v>
      </c>
      <c r="G337">
        <f>SUMIF(listeSorties[Reference],Table4[[#This Row],[reference]],listeSorties[Quantite])</f>
        <v>53</v>
      </c>
      <c r="H337">
        <f>Table4[[#This Row],[stock initial]]+Table4[[#This Row],[entrees]]-Table4[[#This Row],[sorties]]</f>
        <v>252</v>
      </c>
      <c r="I337">
        <f>Table4[[#This Row],[stock final]]*(VLOOKUP(Table4[[#This Row],[reference]],listeMarchandises[],7,FALSE))</f>
        <v>324660601.44</v>
      </c>
      <c r="J337" t="str">
        <f>IF(Table4[[#This Row],[valeur]]&lt;=Table4[[#This Row],[seuil d''alerte]],"stock faible","stock normal")</f>
        <v>stock normal</v>
      </c>
    </row>
    <row r="338" spans="1:10" x14ac:dyDescent="0.25">
      <c r="A338" t="s">
        <v>685</v>
      </c>
      <c r="B338" t="str">
        <f>VLOOKUP(Table4[[#This Row],[reference]],listeMarchandises[],2,FALSE)</f>
        <v>Lave-linge 083</v>
      </c>
      <c r="C338" t="str">
        <f>VLOOKUP(Table4[[#This Row],[reference]],listeMarchandises[],3,FALSE)</f>
        <v>Electromenager</v>
      </c>
      <c r="D338">
        <f>VLOOKUP(Table4[[#This Row],[reference]],listeMarchandises[],4,FALSE)</f>
        <v>7</v>
      </c>
      <c r="E338">
        <f>VLOOKUP(Table4[[#This Row],[reference]],listeMarchandises[],6,FALSE)</f>
        <v>74</v>
      </c>
      <c r="F338">
        <f>SUMIF(listeEntrées[Reference],Table4[[#This Row],[reference]],listeEntrées[Quantite])</f>
        <v>175</v>
      </c>
      <c r="G338">
        <f>SUMIF(listeSorties[Reference],Table4[[#This Row],[reference]],listeSorties[Quantite])</f>
        <v>34</v>
      </c>
      <c r="H338">
        <f>Table4[[#This Row],[stock initial]]+Table4[[#This Row],[entrees]]-Table4[[#This Row],[sorties]]</f>
        <v>215</v>
      </c>
      <c r="I338">
        <f>Table4[[#This Row],[stock final]]*(VLOOKUP(Table4[[#This Row],[reference]],listeMarchandises[],7,FALSE))</f>
        <v>242860931.94999999</v>
      </c>
      <c r="J338" t="str">
        <f>IF(Table4[[#This Row],[valeur]]&lt;=Table4[[#This Row],[seuil d''alerte]],"stock faible","stock normal")</f>
        <v>stock normal</v>
      </c>
    </row>
    <row r="339" spans="1:10" x14ac:dyDescent="0.25">
      <c r="A339" t="s">
        <v>687</v>
      </c>
      <c r="B339" t="str">
        <f>VLOOKUP(Table4[[#This Row],[reference]],listeMarchandises[],2,FALSE)</f>
        <v>Batterie electronique 085</v>
      </c>
      <c r="C339" t="str">
        <f>VLOOKUP(Table4[[#This Row],[reference]],listeMarchandises[],3,FALSE)</f>
        <v>Instrument de musique</v>
      </c>
      <c r="D339">
        <f>VLOOKUP(Table4[[#This Row],[reference]],listeMarchandises[],4,FALSE)</f>
        <v>17</v>
      </c>
      <c r="E339">
        <f>VLOOKUP(Table4[[#This Row],[reference]],listeMarchandises[],6,FALSE)</f>
        <v>81</v>
      </c>
      <c r="F339">
        <f>SUMIF(listeEntrées[Reference],Table4[[#This Row],[reference]],listeEntrées[Quantite])</f>
        <v>78</v>
      </c>
      <c r="G339">
        <f>SUMIF(listeSorties[Reference],Table4[[#This Row],[reference]],listeSorties[Quantite])</f>
        <v>128</v>
      </c>
      <c r="H339">
        <f>Table4[[#This Row],[stock initial]]+Table4[[#This Row],[entrees]]-Table4[[#This Row],[sorties]]</f>
        <v>31</v>
      </c>
      <c r="I339">
        <f>Table4[[#This Row],[stock final]]*(VLOOKUP(Table4[[#This Row],[reference]],listeMarchandises[],7,FALSE))</f>
        <v>57874179.93</v>
      </c>
      <c r="J339" t="str">
        <f>IF(Table4[[#This Row],[valeur]]&lt;=Table4[[#This Row],[seuil d''alerte]],"stock faible","stock normal")</f>
        <v>stock normal</v>
      </c>
    </row>
    <row r="340" spans="1:10" x14ac:dyDescent="0.25">
      <c r="A340" t="s">
        <v>689</v>
      </c>
      <c r="B340" t="str">
        <f>VLOOKUP(Table4[[#This Row],[reference]],listeMarchandises[],2,FALSE)</f>
        <v>Smartphone Alpha 093</v>
      </c>
      <c r="C340" t="str">
        <f>VLOOKUP(Table4[[#This Row],[reference]],listeMarchandises[],3,FALSE)</f>
        <v>Smartphone</v>
      </c>
      <c r="D340">
        <f>VLOOKUP(Table4[[#This Row],[reference]],listeMarchandises[],4,FALSE)</f>
        <v>24</v>
      </c>
      <c r="E340">
        <f>VLOOKUP(Table4[[#This Row],[reference]],listeMarchandises[],6,FALSE)</f>
        <v>307</v>
      </c>
      <c r="F340">
        <f>SUMIF(listeEntrées[Reference],Table4[[#This Row],[reference]],listeEntrées[Quantite])</f>
        <v>13</v>
      </c>
      <c r="G340">
        <f>SUMIF(listeSorties[Reference],Table4[[#This Row],[reference]],listeSorties[Quantite])</f>
        <v>67</v>
      </c>
      <c r="H340">
        <f>Table4[[#This Row],[stock initial]]+Table4[[#This Row],[entrees]]-Table4[[#This Row],[sorties]]</f>
        <v>253</v>
      </c>
      <c r="I340">
        <f>Table4[[#This Row],[stock final]]*(VLOOKUP(Table4[[#This Row],[reference]],listeMarchandises[],7,FALSE))</f>
        <v>277099327.78000003</v>
      </c>
      <c r="J340" t="str">
        <f>IF(Table4[[#This Row],[valeur]]&lt;=Table4[[#This Row],[seuil d''alerte]],"stock faible","stock normal")</f>
        <v>stock normal</v>
      </c>
    </row>
    <row r="341" spans="1:10" x14ac:dyDescent="0.25">
      <c r="A341" t="s">
        <v>691</v>
      </c>
      <c r="B341" t="str">
        <f>VLOOKUP(Table4[[#This Row],[reference]],listeMarchandises[],2,FALSE)</f>
        <v>Guitare acoustique 086</v>
      </c>
      <c r="C341" t="str">
        <f>VLOOKUP(Table4[[#This Row],[reference]],listeMarchandises[],3,FALSE)</f>
        <v>Instrument de musique</v>
      </c>
      <c r="D341">
        <f>VLOOKUP(Table4[[#This Row],[reference]],listeMarchandises[],4,FALSE)</f>
        <v>3</v>
      </c>
      <c r="E341">
        <f>VLOOKUP(Table4[[#This Row],[reference]],listeMarchandises[],6,FALSE)</f>
        <v>293</v>
      </c>
      <c r="F341">
        <f>SUMIF(listeEntrées[Reference],Table4[[#This Row],[reference]],listeEntrées[Quantite])</f>
        <v>0</v>
      </c>
      <c r="G341">
        <f>SUMIF(listeSorties[Reference],Table4[[#This Row],[reference]],listeSorties[Quantite])</f>
        <v>0</v>
      </c>
      <c r="H341">
        <f>Table4[[#This Row],[stock initial]]+Table4[[#This Row],[entrees]]-Table4[[#This Row],[sorties]]</f>
        <v>293</v>
      </c>
      <c r="I341">
        <f>Table4[[#This Row],[stock final]]*(VLOOKUP(Table4[[#This Row],[reference]],listeMarchandises[],7,FALSE))</f>
        <v>205027734.47999999</v>
      </c>
      <c r="J341" t="str">
        <f>IF(Table4[[#This Row],[valeur]]&lt;=Table4[[#This Row],[seuil d''alerte]],"stock faible","stock normal")</f>
        <v>stock normal</v>
      </c>
    </row>
    <row r="342" spans="1:10" x14ac:dyDescent="0.25">
      <c r="A342" t="s">
        <v>693</v>
      </c>
      <c r="B342" t="str">
        <f>VLOOKUP(Table4[[#This Row],[reference]],listeMarchandises[],2,FALSE)</f>
        <v>Aspirateur 084</v>
      </c>
      <c r="C342" t="str">
        <f>VLOOKUP(Table4[[#This Row],[reference]],listeMarchandises[],3,FALSE)</f>
        <v>Electromenager</v>
      </c>
      <c r="D342">
        <f>VLOOKUP(Table4[[#This Row],[reference]],listeMarchandises[],4,FALSE)</f>
        <v>13</v>
      </c>
      <c r="E342">
        <f>VLOOKUP(Table4[[#This Row],[reference]],listeMarchandises[],6,FALSE)</f>
        <v>27</v>
      </c>
      <c r="F342">
        <f>SUMIF(listeEntrées[Reference],Table4[[#This Row],[reference]],listeEntrées[Quantite])</f>
        <v>142</v>
      </c>
      <c r="G342">
        <f>SUMIF(listeSorties[Reference],Table4[[#This Row],[reference]],listeSorties[Quantite])</f>
        <v>122</v>
      </c>
      <c r="H342">
        <f>Table4[[#This Row],[stock initial]]+Table4[[#This Row],[entrees]]-Table4[[#This Row],[sorties]]</f>
        <v>47</v>
      </c>
      <c r="I342">
        <f>Table4[[#This Row],[stock final]]*(VLOOKUP(Table4[[#This Row],[reference]],listeMarchandises[],7,FALSE))</f>
        <v>8545736.9299999997</v>
      </c>
      <c r="J342" t="str">
        <f>IF(Table4[[#This Row],[valeur]]&lt;=Table4[[#This Row],[seuil d''alerte]],"stock faible","stock normal")</f>
        <v>stock normal</v>
      </c>
    </row>
    <row r="343" spans="1:10" x14ac:dyDescent="0.25">
      <c r="A343" t="s">
        <v>695</v>
      </c>
      <c r="B343" t="str">
        <f>VLOOKUP(Table4[[#This Row],[reference]],listeMarchandises[],2,FALSE)</f>
        <v>Saxophone alto 087</v>
      </c>
      <c r="C343" t="str">
        <f>VLOOKUP(Table4[[#This Row],[reference]],listeMarchandises[],3,FALSE)</f>
        <v>Instrument de musique</v>
      </c>
      <c r="D343">
        <f>VLOOKUP(Table4[[#This Row],[reference]],listeMarchandises[],4,FALSE)</f>
        <v>21</v>
      </c>
      <c r="E343">
        <f>VLOOKUP(Table4[[#This Row],[reference]],listeMarchandises[],6,FALSE)</f>
        <v>68</v>
      </c>
      <c r="F343">
        <f>SUMIF(listeEntrées[Reference],Table4[[#This Row],[reference]],listeEntrées[Quantite])</f>
        <v>71</v>
      </c>
      <c r="G343">
        <f>SUMIF(listeSorties[Reference],Table4[[#This Row],[reference]],listeSorties[Quantite])</f>
        <v>117</v>
      </c>
      <c r="H343">
        <f>Table4[[#This Row],[stock initial]]+Table4[[#This Row],[entrees]]-Table4[[#This Row],[sorties]]</f>
        <v>22</v>
      </c>
      <c r="I343">
        <f>Table4[[#This Row],[stock final]]*(VLOOKUP(Table4[[#This Row],[reference]],listeMarchandises[],7,FALSE))</f>
        <v>4945568.32</v>
      </c>
      <c r="J343" t="str">
        <f>IF(Table4[[#This Row],[valeur]]&lt;=Table4[[#This Row],[seuil d''alerte]],"stock faible","stock normal")</f>
        <v>stock normal</v>
      </c>
    </row>
    <row r="344" spans="1:10" x14ac:dyDescent="0.25">
      <c r="A344" t="s">
        <v>697</v>
      </c>
      <c r="B344" t="str">
        <f>VLOOKUP(Table4[[#This Row],[reference]],listeMarchandises[],2,FALSE)</f>
        <v>Groupe 5kVA 079</v>
      </c>
      <c r="C344" t="str">
        <f>VLOOKUP(Table4[[#This Row],[reference]],listeMarchandises[],3,FALSE)</f>
        <v>Groupe electrogene</v>
      </c>
      <c r="D344">
        <f>VLOOKUP(Table4[[#This Row],[reference]],listeMarchandises[],4,FALSE)</f>
        <v>20</v>
      </c>
      <c r="E344">
        <f>VLOOKUP(Table4[[#This Row],[reference]],listeMarchandises[],6,FALSE)</f>
        <v>305</v>
      </c>
      <c r="F344">
        <f>SUMIF(listeEntrées[Reference],Table4[[#This Row],[reference]],listeEntrées[Quantite])</f>
        <v>0</v>
      </c>
      <c r="G344">
        <f>SUMIF(listeSorties[Reference],Table4[[#This Row],[reference]],listeSorties[Quantite])</f>
        <v>0</v>
      </c>
      <c r="H344">
        <f>Table4[[#This Row],[stock initial]]+Table4[[#This Row],[entrees]]-Table4[[#This Row],[sorties]]</f>
        <v>305</v>
      </c>
      <c r="I344">
        <f>Table4[[#This Row],[stock final]]*(VLOOKUP(Table4[[#This Row],[reference]],listeMarchandises[],7,FALSE))</f>
        <v>402226054.75</v>
      </c>
      <c r="J344" t="str">
        <f>IF(Table4[[#This Row],[valeur]]&lt;=Table4[[#This Row],[seuil d''alerte]],"stock faible","stock normal")</f>
        <v>stock normal</v>
      </c>
    </row>
    <row r="345" spans="1:10" x14ac:dyDescent="0.25">
      <c r="A345" t="s">
        <v>699</v>
      </c>
      <c r="B345" t="str">
        <f>VLOOKUP(Table4[[#This Row],[reference]],listeMarchandises[],2,FALSE)</f>
        <v>Batterie electronique 088</v>
      </c>
      <c r="C345" t="str">
        <f>VLOOKUP(Table4[[#This Row],[reference]],listeMarchandises[],3,FALSE)</f>
        <v>Instrument de musique</v>
      </c>
      <c r="D345">
        <f>VLOOKUP(Table4[[#This Row],[reference]],listeMarchandises[],4,FALSE)</f>
        <v>17</v>
      </c>
      <c r="E345">
        <f>VLOOKUP(Table4[[#This Row],[reference]],listeMarchandises[],6,FALSE)</f>
        <v>263</v>
      </c>
      <c r="F345">
        <f>SUMIF(listeEntrées[Reference],Table4[[#This Row],[reference]],listeEntrées[Quantite])</f>
        <v>109</v>
      </c>
      <c r="G345">
        <f>SUMIF(listeSorties[Reference],Table4[[#This Row],[reference]],listeSorties[Quantite])</f>
        <v>38</v>
      </c>
      <c r="H345">
        <f>Table4[[#This Row],[stock initial]]+Table4[[#This Row],[entrees]]-Table4[[#This Row],[sorties]]</f>
        <v>334</v>
      </c>
      <c r="I345">
        <f>Table4[[#This Row],[stock final]]*(VLOOKUP(Table4[[#This Row],[reference]],listeMarchandises[],7,FALSE))</f>
        <v>20514363.5</v>
      </c>
      <c r="J345" t="str">
        <f>IF(Table4[[#This Row],[valeur]]&lt;=Table4[[#This Row],[seuil d''alerte]],"stock faible","stock normal")</f>
        <v>stock normal</v>
      </c>
    </row>
    <row r="346" spans="1:10" x14ac:dyDescent="0.25">
      <c r="A346" t="s">
        <v>701</v>
      </c>
      <c r="B346" t="str">
        <f>VLOOKUP(Table4[[#This Row],[reference]],listeMarchandises[],2,FALSE)</f>
        <v>Guitare acoustique 089</v>
      </c>
      <c r="C346" t="str">
        <f>VLOOKUP(Table4[[#This Row],[reference]],listeMarchandises[],3,FALSE)</f>
        <v>Instrument de musique</v>
      </c>
      <c r="D346">
        <f>VLOOKUP(Table4[[#This Row],[reference]],listeMarchandises[],4,FALSE)</f>
        <v>6</v>
      </c>
      <c r="E346">
        <f>VLOOKUP(Table4[[#This Row],[reference]],listeMarchandises[],6,FALSE)</f>
        <v>295</v>
      </c>
      <c r="F346">
        <f>SUMIF(listeEntrées[Reference],Table4[[#This Row],[reference]],listeEntrées[Quantite])</f>
        <v>0</v>
      </c>
      <c r="G346">
        <f>SUMIF(listeSorties[Reference],Table4[[#This Row],[reference]],listeSorties[Quantite])</f>
        <v>76</v>
      </c>
      <c r="H346">
        <f>Table4[[#This Row],[stock initial]]+Table4[[#This Row],[entrees]]-Table4[[#This Row],[sorties]]</f>
        <v>219</v>
      </c>
      <c r="I346">
        <f>Table4[[#This Row],[stock final]]*(VLOOKUP(Table4[[#This Row],[reference]],listeMarchandises[],7,FALSE))</f>
        <v>172126345.95000002</v>
      </c>
      <c r="J346" t="str">
        <f>IF(Table4[[#This Row],[valeur]]&lt;=Table4[[#This Row],[seuil d''alerte]],"stock faible","stock normal")</f>
        <v>stock normal</v>
      </c>
    </row>
    <row r="347" spans="1:10" x14ac:dyDescent="0.25">
      <c r="A347" t="s">
        <v>703</v>
      </c>
      <c r="B347" t="str">
        <f>VLOOKUP(Table4[[#This Row],[reference]],listeMarchandises[],2,FALSE)</f>
        <v>Saxophone alto 090</v>
      </c>
      <c r="C347" t="str">
        <f>VLOOKUP(Table4[[#This Row],[reference]],listeMarchandises[],3,FALSE)</f>
        <v>Instrument de musique</v>
      </c>
      <c r="D347">
        <f>VLOOKUP(Table4[[#This Row],[reference]],listeMarchandises[],4,FALSE)</f>
        <v>20</v>
      </c>
      <c r="E347">
        <f>VLOOKUP(Table4[[#This Row],[reference]],listeMarchandises[],6,FALSE)</f>
        <v>270</v>
      </c>
      <c r="F347">
        <f>SUMIF(listeEntrées[Reference],Table4[[#This Row],[reference]],listeEntrées[Quantite])</f>
        <v>0</v>
      </c>
      <c r="G347">
        <f>SUMIF(listeSorties[Reference],Table4[[#This Row],[reference]],listeSorties[Quantite])</f>
        <v>0</v>
      </c>
      <c r="H347">
        <f>Table4[[#This Row],[stock initial]]+Table4[[#This Row],[entrees]]-Table4[[#This Row],[sorties]]</f>
        <v>270</v>
      </c>
      <c r="I347">
        <f>Table4[[#This Row],[stock final]]*(VLOOKUP(Table4[[#This Row],[reference]],listeMarchandises[],7,FALSE))</f>
        <v>407538588.59999996</v>
      </c>
      <c r="J347" t="str">
        <f>IF(Table4[[#This Row],[valeur]]&lt;=Table4[[#This Row],[seuil d''alerte]],"stock faible","stock normal")</f>
        <v>stock normal</v>
      </c>
    </row>
    <row r="348" spans="1:10" x14ac:dyDescent="0.25">
      <c r="A348" t="s">
        <v>705</v>
      </c>
      <c r="B348" t="str">
        <f>VLOOKUP(Table4[[#This Row],[reference]],listeMarchandises[],2,FALSE)</f>
        <v>Smartphone Prime 094</v>
      </c>
      <c r="C348" t="str">
        <f>VLOOKUP(Table4[[#This Row],[reference]],listeMarchandises[],3,FALSE)</f>
        <v>Smartphone</v>
      </c>
      <c r="D348">
        <f>VLOOKUP(Table4[[#This Row],[reference]],listeMarchandises[],4,FALSE)</f>
        <v>18</v>
      </c>
      <c r="E348">
        <f>VLOOKUP(Table4[[#This Row],[reference]],listeMarchandises[],6,FALSE)</f>
        <v>50</v>
      </c>
      <c r="F348">
        <f>SUMIF(listeEntrées[Reference],Table4[[#This Row],[reference]],listeEntrées[Quantite])</f>
        <v>231</v>
      </c>
      <c r="G348">
        <f>SUMIF(listeSorties[Reference],Table4[[#This Row],[reference]],listeSorties[Quantite])</f>
        <v>37</v>
      </c>
      <c r="H348">
        <f>Table4[[#This Row],[stock initial]]+Table4[[#This Row],[entrees]]-Table4[[#This Row],[sorties]]</f>
        <v>244</v>
      </c>
      <c r="I348">
        <f>Table4[[#This Row],[stock final]]*(VLOOKUP(Table4[[#This Row],[reference]],listeMarchandises[],7,FALSE))</f>
        <v>381618759.63999999</v>
      </c>
      <c r="J348" t="str">
        <f>IF(Table4[[#This Row],[valeur]]&lt;=Table4[[#This Row],[seuil d''alerte]],"stock faible","stock normal")</f>
        <v>stock normal</v>
      </c>
    </row>
    <row r="349" spans="1:10" x14ac:dyDescent="0.25">
      <c r="A349" t="s">
        <v>707</v>
      </c>
      <c r="B349" t="str">
        <f>VLOOKUP(Table4[[#This Row],[reference]],listeMarchandises[],2,FALSE)</f>
        <v>Mixeur 085</v>
      </c>
      <c r="C349" t="str">
        <f>VLOOKUP(Table4[[#This Row],[reference]],listeMarchandises[],3,FALSE)</f>
        <v>Electromenager</v>
      </c>
      <c r="D349">
        <f>VLOOKUP(Table4[[#This Row],[reference]],listeMarchandises[],4,FALSE)</f>
        <v>3</v>
      </c>
      <c r="E349">
        <f>VLOOKUP(Table4[[#This Row],[reference]],listeMarchandises[],6,FALSE)</f>
        <v>224</v>
      </c>
      <c r="F349">
        <f>SUMIF(listeEntrées[Reference],Table4[[#This Row],[reference]],listeEntrées[Quantite])</f>
        <v>233</v>
      </c>
      <c r="G349">
        <f>SUMIF(listeSorties[Reference],Table4[[#This Row],[reference]],listeSorties[Quantite])</f>
        <v>0</v>
      </c>
      <c r="H349">
        <f>Table4[[#This Row],[stock initial]]+Table4[[#This Row],[entrees]]-Table4[[#This Row],[sorties]]</f>
        <v>457</v>
      </c>
      <c r="I349">
        <f>Table4[[#This Row],[stock final]]*(VLOOKUP(Table4[[#This Row],[reference]],listeMarchandises[],7,FALSE))</f>
        <v>246454734.81999999</v>
      </c>
      <c r="J349" t="str">
        <f>IF(Table4[[#This Row],[valeur]]&lt;=Table4[[#This Row],[seuil d''alerte]],"stock faible","stock normal")</f>
        <v>stock normal</v>
      </c>
    </row>
    <row r="350" spans="1:10" x14ac:dyDescent="0.25">
      <c r="A350" t="s">
        <v>709</v>
      </c>
      <c r="B350" t="str">
        <f>VLOOKUP(Table4[[#This Row],[reference]],listeMarchandises[],2,FALSE)</f>
        <v>Smartphone Ultra 095</v>
      </c>
      <c r="C350" t="str">
        <f>VLOOKUP(Table4[[#This Row],[reference]],listeMarchandises[],3,FALSE)</f>
        <v>Smartphone</v>
      </c>
      <c r="D350">
        <f>VLOOKUP(Table4[[#This Row],[reference]],listeMarchandises[],4,FALSE)</f>
        <v>21</v>
      </c>
      <c r="E350">
        <f>VLOOKUP(Table4[[#This Row],[reference]],listeMarchandises[],6,FALSE)</f>
        <v>312</v>
      </c>
      <c r="F350">
        <f>SUMIF(listeEntrées[Reference],Table4[[#This Row],[reference]],listeEntrées[Quantite])</f>
        <v>73</v>
      </c>
      <c r="G350">
        <f>SUMIF(listeSorties[Reference],Table4[[#This Row],[reference]],listeSorties[Quantite])</f>
        <v>87</v>
      </c>
      <c r="H350">
        <f>Table4[[#This Row],[stock initial]]+Table4[[#This Row],[entrees]]-Table4[[#This Row],[sorties]]</f>
        <v>298</v>
      </c>
      <c r="I350">
        <f>Table4[[#This Row],[stock final]]*(VLOOKUP(Table4[[#This Row],[reference]],listeMarchandises[],7,FALSE))</f>
        <v>423562970.5</v>
      </c>
      <c r="J350" t="str">
        <f>IF(Table4[[#This Row],[valeur]]&lt;=Table4[[#This Row],[seuil d''alerte]],"stock faible","stock normal")</f>
        <v>stock normal</v>
      </c>
    </row>
    <row r="351" spans="1:10" x14ac:dyDescent="0.25">
      <c r="A351" t="s">
        <v>711</v>
      </c>
      <c r="B351" t="str">
        <f>VLOOKUP(Table4[[#This Row],[reference]],listeMarchandises[],2,FALSE)</f>
        <v>Groupe 5kVA 080</v>
      </c>
      <c r="C351" t="str">
        <f>VLOOKUP(Table4[[#This Row],[reference]],listeMarchandises[],3,FALSE)</f>
        <v>Groupe electrogene</v>
      </c>
      <c r="D351">
        <f>VLOOKUP(Table4[[#This Row],[reference]],listeMarchandises[],4,FALSE)</f>
        <v>11</v>
      </c>
      <c r="E351">
        <f>VLOOKUP(Table4[[#This Row],[reference]],listeMarchandises[],6,FALSE)</f>
        <v>47</v>
      </c>
      <c r="F351">
        <f>SUMIF(listeEntrées[Reference],Table4[[#This Row],[reference]],listeEntrées[Quantite])</f>
        <v>0</v>
      </c>
      <c r="G351">
        <f>SUMIF(listeSorties[Reference],Table4[[#This Row],[reference]],listeSorties[Quantite])</f>
        <v>116</v>
      </c>
      <c r="H351">
        <f>Table4[[#This Row],[stock initial]]+Table4[[#This Row],[entrees]]-Table4[[#This Row],[sorties]]</f>
        <v>-69</v>
      </c>
      <c r="I351">
        <f>Table4[[#This Row],[stock final]]*(VLOOKUP(Table4[[#This Row],[reference]],listeMarchandises[],7,FALSE))</f>
        <v>-215758414.94999999</v>
      </c>
      <c r="J351" t="str">
        <f>IF(Table4[[#This Row],[valeur]]&lt;=Table4[[#This Row],[seuil d''alerte]],"stock faible","stock normal")</f>
        <v>stock faible</v>
      </c>
    </row>
    <row r="352" spans="1:10" x14ac:dyDescent="0.25">
      <c r="A352" t="s">
        <v>713</v>
      </c>
      <c r="B352" t="str">
        <f>VLOOKUP(Table4[[#This Row],[reference]],listeMarchandises[],2,FALSE)</f>
        <v>Groupe 2kVA 081</v>
      </c>
      <c r="C352" t="str">
        <f>VLOOKUP(Table4[[#This Row],[reference]],listeMarchandises[],3,FALSE)</f>
        <v>Groupe electrogene</v>
      </c>
      <c r="D352">
        <f>VLOOKUP(Table4[[#This Row],[reference]],listeMarchandises[],4,FALSE)</f>
        <v>7</v>
      </c>
      <c r="E352">
        <f>VLOOKUP(Table4[[#This Row],[reference]],listeMarchandises[],6,FALSE)</f>
        <v>31</v>
      </c>
      <c r="F352">
        <f>SUMIF(listeEntrées[Reference],Table4[[#This Row],[reference]],listeEntrées[Quantite])</f>
        <v>93</v>
      </c>
      <c r="G352">
        <f>SUMIF(listeSorties[Reference],Table4[[#This Row],[reference]],listeSorties[Quantite])</f>
        <v>48</v>
      </c>
      <c r="H352">
        <f>Table4[[#This Row],[stock initial]]+Table4[[#This Row],[entrees]]-Table4[[#This Row],[sorties]]</f>
        <v>76</v>
      </c>
      <c r="I352">
        <f>Table4[[#This Row],[stock final]]*(VLOOKUP(Table4[[#This Row],[reference]],listeMarchandises[],7,FALSE))</f>
        <v>257737923.72000003</v>
      </c>
      <c r="J352" t="str">
        <f>IF(Table4[[#This Row],[valeur]]&lt;=Table4[[#This Row],[seuil d''alerte]],"stock faible","stock normal")</f>
        <v>stock normal</v>
      </c>
    </row>
    <row r="353" spans="1:10" x14ac:dyDescent="0.25">
      <c r="A353" t="s">
        <v>715</v>
      </c>
      <c r="B353" t="str">
        <f>VLOOKUP(Table4[[#This Row],[reference]],listeMarchandises[],2,FALSE)</f>
        <v>Groupe 12kVA 082</v>
      </c>
      <c r="C353" t="str">
        <f>VLOOKUP(Table4[[#This Row],[reference]],listeMarchandises[],3,FALSE)</f>
        <v>Groupe electrogene</v>
      </c>
      <c r="D353">
        <f>VLOOKUP(Table4[[#This Row],[reference]],listeMarchandises[],4,FALSE)</f>
        <v>10</v>
      </c>
      <c r="E353">
        <f>VLOOKUP(Table4[[#This Row],[reference]],listeMarchandises[],6,FALSE)</f>
        <v>52</v>
      </c>
      <c r="F353">
        <f>SUMIF(listeEntrées[Reference],Table4[[#This Row],[reference]],listeEntrées[Quantite])</f>
        <v>184</v>
      </c>
      <c r="G353">
        <f>SUMIF(listeSorties[Reference],Table4[[#This Row],[reference]],listeSorties[Quantite])</f>
        <v>0</v>
      </c>
      <c r="H353">
        <f>Table4[[#This Row],[stock initial]]+Table4[[#This Row],[entrees]]-Table4[[#This Row],[sorties]]</f>
        <v>236</v>
      </c>
      <c r="I353">
        <f>Table4[[#This Row],[stock final]]*(VLOOKUP(Table4[[#This Row],[reference]],listeMarchandises[],7,FALSE))</f>
        <v>688760097.6400001</v>
      </c>
      <c r="J353" t="str">
        <f>IF(Table4[[#This Row],[valeur]]&lt;=Table4[[#This Row],[seuil d''alerte]],"stock faible","stock normal")</f>
        <v>stock normal</v>
      </c>
    </row>
    <row r="354" spans="1:10" x14ac:dyDescent="0.25">
      <c r="A354" t="s">
        <v>717</v>
      </c>
      <c r="B354" t="str">
        <f>VLOOKUP(Table4[[#This Row],[reference]],listeMarchandises[],2,FALSE)</f>
        <v>Groupe 8kVA 083</v>
      </c>
      <c r="C354" t="str">
        <f>VLOOKUP(Table4[[#This Row],[reference]],listeMarchandises[],3,FALSE)</f>
        <v>Groupe electrogene</v>
      </c>
      <c r="D354">
        <f>VLOOKUP(Table4[[#This Row],[reference]],listeMarchandises[],4,FALSE)</f>
        <v>22</v>
      </c>
      <c r="E354">
        <f>VLOOKUP(Table4[[#This Row],[reference]],listeMarchandises[],6,FALSE)</f>
        <v>369</v>
      </c>
      <c r="F354">
        <f>SUMIF(listeEntrées[Reference],Table4[[#This Row],[reference]],listeEntrées[Quantite])</f>
        <v>0</v>
      </c>
      <c r="G354">
        <f>SUMIF(listeSorties[Reference],Table4[[#This Row],[reference]],listeSorties[Quantite])</f>
        <v>68</v>
      </c>
      <c r="H354">
        <f>Table4[[#This Row],[stock initial]]+Table4[[#This Row],[entrees]]-Table4[[#This Row],[sorties]]</f>
        <v>301</v>
      </c>
      <c r="I354">
        <f>Table4[[#This Row],[stock final]]*(VLOOKUP(Table4[[#This Row],[reference]],listeMarchandises[],7,FALSE))</f>
        <v>1069782242.83</v>
      </c>
      <c r="J354" t="str">
        <f>IF(Table4[[#This Row],[valeur]]&lt;=Table4[[#This Row],[seuil d''alerte]],"stock faible","stock normal")</f>
        <v>stock normal</v>
      </c>
    </row>
    <row r="355" spans="1:10" x14ac:dyDescent="0.25">
      <c r="A355" t="s">
        <v>719</v>
      </c>
      <c r="B355" t="str">
        <f>VLOOKUP(Table4[[#This Row],[reference]],listeMarchandises[],2,FALSE)</f>
        <v>Batterie electronique 091</v>
      </c>
      <c r="C355" t="str">
        <f>VLOOKUP(Table4[[#This Row],[reference]],listeMarchandises[],3,FALSE)</f>
        <v>Instrument de musique</v>
      </c>
      <c r="D355">
        <f>VLOOKUP(Table4[[#This Row],[reference]],listeMarchandises[],4,FALSE)</f>
        <v>5</v>
      </c>
      <c r="E355">
        <f>VLOOKUP(Table4[[#This Row],[reference]],listeMarchandises[],6,FALSE)</f>
        <v>138</v>
      </c>
      <c r="F355">
        <f>SUMIF(listeEntrées[Reference],Table4[[#This Row],[reference]],listeEntrées[Quantite])</f>
        <v>78</v>
      </c>
      <c r="G355">
        <f>SUMIF(listeSorties[Reference],Table4[[#This Row],[reference]],listeSorties[Quantite])</f>
        <v>25</v>
      </c>
      <c r="H355">
        <f>Table4[[#This Row],[stock initial]]+Table4[[#This Row],[entrees]]-Table4[[#This Row],[sorties]]</f>
        <v>191</v>
      </c>
      <c r="I355">
        <f>Table4[[#This Row],[stock final]]*(VLOOKUP(Table4[[#This Row],[reference]],listeMarchandises[],7,FALSE))</f>
        <v>76392659.870000005</v>
      </c>
      <c r="J355" t="str">
        <f>IF(Table4[[#This Row],[valeur]]&lt;=Table4[[#This Row],[seuil d''alerte]],"stock faible","stock normal")</f>
        <v>stock normal</v>
      </c>
    </row>
    <row r="356" spans="1:10" x14ac:dyDescent="0.25">
      <c r="A356" t="s">
        <v>721</v>
      </c>
      <c r="B356" t="str">
        <f>VLOOKUP(Table4[[#This Row],[reference]],listeMarchandises[],2,FALSE)</f>
        <v>Smartphone Alpha 096</v>
      </c>
      <c r="C356" t="str">
        <f>VLOOKUP(Table4[[#This Row],[reference]],listeMarchandises[],3,FALSE)</f>
        <v>Smartphone</v>
      </c>
      <c r="D356">
        <f>VLOOKUP(Table4[[#This Row],[reference]],listeMarchandises[],4,FALSE)</f>
        <v>19</v>
      </c>
      <c r="E356">
        <f>VLOOKUP(Table4[[#This Row],[reference]],listeMarchandises[],6,FALSE)</f>
        <v>208</v>
      </c>
      <c r="F356">
        <f>SUMIF(listeEntrées[Reference],Table4[[#This Row],[reference]],listeEntrées[Quantite])</f>
        <v>202</v>
      </c>
      <c r="G356">
        <f>SUMIF(listeSorties[Reference],Table4[[#This Row],[reference]],listeSorties[Quantite])</f>
        <v>117</v>
      </c>
      <c r="H356">
        <f>Table4[[#This Row],[stock initial]]+Table4[[#This Row],[entrees]]-Table4[[#This Row],[sorties]]</f>
        <v>293</v>
      </c>
      <c r="I356">
        <f>Table4[[#This Row],[stock final]]*(VLOOKUP(Table4[[#This Row],[reference]],listeMarchandises[],7,FALSE))</f>
        <v>246224155.63999999</v>
      </c>
      <c r="J356" t="str">
        <f>IF(Table4[[#This Row],[valeur]]&lt;=Table4[[#This Row],[seuil d''alerte]],"stock faible","stock normal")</f>
        <v>stock normal</v>
      </c>
    </row>
    <row r="357" spans="1:10" x14ac:dyDescent="0.25">
      <c r="A357" t="s">
        <v>723</v>
      </c>
      <c r="B357" t="str">
        <f>VLOOKUP(Table4[[#This Row],[reference]],listeMarchandises[],2,FALSE)</f>
        <v>Groupe silencieux 6kVA 084</v>
      </c>
      <c r="C357" t="str">
        <f>VLOOKUP(Table4[[#This Row],[reference]],listeMarchandises[],3,FALSE)</f>
        <v>Groupe electrogene</v>
      </c>
      <c r="D357">
        <f>VLOOKUP(Table4[[#This Row],[reference]],listeMarchandises[],4,FALSE)</f>
        <v>22</v>
      </c>
      <c r="E357">
        <f>VLOOKUP(Table4[[#This Row],[reference]],listeMarchandises[],6,FALSE)</f>
        <v>229</v>
      </c>
      <c r="F357">
        <f>SUMIF(listeEntrées[Reference],Table4[[#This Row],[reference]],listeEntrées[Quantite])</f>
        <v>188</v>
      </c>
      <c r="G357">
        <f>SUMIF(listeSorties[Reference],Table4[[#This Row],[reference]],listeSorties[Quantite])</f>
        <v>65</v>
      </c>
      <c r="H357">
        <f>Table4[[#This Row],[stock initial]]+Table4[[#This Row],[entrees]]-Table4[[#This Row],[sorties]]</f>
        <v>352</v>
      </c>
      <c r="I357">
        <f>Table4[[#This Row],[stock final]]*(VLOOKUP(Table4[[#This Row],[reference]],listeMarchandises[],7,FALSE))</f>
        <v>1334748627.52</v>
      </c>
      <c r="J357" t="str">
        <f>IF(Table4[[#This Row],[valeur]]&lt;=Table4[[#This Row],[seuil d''alerte]],"stock faible","stock normal")</f>
        <v>stock normal</v>
      </c>
    </row>
    <row r="358" spans="1:10" x14ac:dyDescent="0.25">
      <c r="A358" t="s">
        <v>725</v>
      </c>
      <c r="B358" t="str">
        <f>VLOOKUP(Table4[[#This Row],[reference]],listeMarchandises[],2,FALSE)</f>
        <v>Clavier arrangeur 092</v>
      </c>
      <c r="C358" t="str">
        <f>VLOOKUP(Table4[[#This Row],[reference]],listeMarchandises[],3,FALSE)</f>
        <v>Instrument de musique</v>
      </c>
      <c r="D358">
        <f>VLOOKUP(Table4[[#This Row],[reference]],listeMarchandises[],4,FALSE)</f>
        <v>23</v>
      </c>
      <c r="E358">
        <f>VLOOKUP(Table4[[#This Row],[reference]],listeMarchandises[],6,FALSE)</f>
        <v>57</v>
      </c>
      <c r="F358">
        <f>SUMIF(listeEntrées[Reference],Table4[[#This Row],[reference]],listeEntrées[Quantite])</f>
        <v>0</v>
      </c>
      <c r="G358">
        <f>SUMIF(listeSorties[Reference],Table4[[#This Row],[reference]],listeSorties[Quantite])</f>
        <v>65</v>
      </c>
      <c r="H358">
        <f>Table4[[#This Row],[stock initial]]+Table4[[#This Row],[entrees]]-Table4[[#This Row],[sorties]]</f>
        <v>-8</v>
      </c>
      <c r="I358">
        <f>Table4[[#This Row],[stock final]]*(VLOOKUP(Table4[[#This Row],[reference]],listeMarchandises[],7,FALSE))</f>
        <v>-9293508.6400000006</v>
      </c>
      <c r="J358" t="str">
        <f>IF(Table4[[#This Row],[valeur]]&lt;=Table4[[#This Row],[seuil d''alerte]],"stock faible","stock normal")</f>
        <v>stock faible</v>
      </c>
    </row>
    <row r="359" spans="1:10" x14ac:dyDescent="0.25">
      <c r="A359" t="s">
        <v>727</v>
      </c>
      <c r="B359" t="str">
        <f>VLOOKUP(Table4[[#This Row],[reference]],listeMarchandises[],2,FALSE)</f>
        <v>Piano numerique 093</v>
      </c>
      <c r="C359" t="str">
        <f>VLOOKUP(Table4[[#This Row],[reference]],listeMarchandises[],3,FALSE)</f>
        <v>Instrument de musique</v>
      </c>
      <c r="D359">
        <f>VLOOKUP(Table4[[#This Row],[reference]],listeMarchandises[],4,FALSE)</f>
        <v>12</v>
      </c>
      <c r="E359">
        <f>VLOOKUP(Table4[[#This Row],[reference]],listeMarchandises[],6,FALSE)</f>
        <v>38</v>
      </c>
      <c r="F359">
        <f>SUMIF(listeEntrées[Reference],Table4[[#This Row],[reference]],listeEntrées[Quantite])</f>
        <v>82</v>
      </c>
      <c r="G359">
        <f>SUMIF(listeSorties[Reference],Table4[[#This Row],[reference]],listeSorties[Quantite])</f>
        <v>68</v>
      </c>
      <c r="H359">
        <f>Table4[[#This Row],[stock initial]]+Table4[[#This Row],[entrees]]-Table4[[#This Row],[sorties]]</f>
        <v>52</v>
      </c>
      <c r="I359">
        <f>Table4[[#This Row],[stock final]]*(VLOOKUP(Table4[[#This Row],[reference]],listeMarchandises[],7,FALSE))</f>
        <v>24836019.52</v>
      </c>
      <c r="J359" t="str">
        <f>IF(Table4[[#This Row],[valeur]]&lt;=Table4[[#This Row],[seuil d''alerte]],"stock faible","stock normal")</f>
        <v>stock normal</v>
      </c>
    </row>
    <row r="360" spans="1:10" x14ac:dyDescent="0.25">
      <c r="A360" t="s">
        <v>729</v>
      </c>
      <c r="B360" t="str">
        <f>VLOOKUP(Table4[[#This Row],[reference]],listeMarchandises[],2,FALSE)</f>
        <v>Smartphone Prime 097</v>
      </c>
      <c r="C360" t="str">
        <f>VLOOKUP(Table4[[#This Row],[reference]],listeMarchandises[],3,FALSE)</f>
        <v>Smartphone</v>
      </c>
      <c r="D360">
        <f>VLOOKUP(Table4[[#This Row],[reference]],listeMarchandises[],4,FALSE)</f>
        <v>16</v>
      </c>
      <c r="E360">
        <f>VLOOKUP(Table4[[#This Row],[reference]],listeMarchandises[],6,FALSE)</f>
        <v>269</v>
      </c>
      <c r="F360">
        <f>SUMIF(listeEntrées[Reference],Table4[[#This Row],[reference]],listeEntrées[Quantite])</f>
        <v>190</v>
      </c>
      <c r="G360">
        <f>SUMIF(listeSorties[Reference],Table4[[#This Row],[reference]],listeSorties[Quantite])</f>
        <v>3</v>
      </c>
      <c r="H360">
        <f>Table4[[#This Row],[stock initial]]+Table4[[#This Row],[entrees]]-Table4[[#This Row],[sorties]]</f>
        <v>456</v>
      </c>
      <c r="I360">
        <f>Table4[[#This Row],[stock final]]*(VLOOKUP(Table4[[#This Row],[reference]],listeMarchandises[],7,FALSE))</f>
        <v>155715992.64000002</v>
      </c>
      <c r="J360" t="str">
        <f>IF(Table4[[#This Row],[valeur]]&lt;=Table4[[#This Row],[seuil d''alerte]],"stock faible","stock normal")</f>
        <v>stock normal</v>
      </c>
    </row>
    <row r="361" spans="1:10" x14ac:dyDescent="0.25">
      <c r="A361" t="s">
        <v>731</v>
      </c>
      <c r="B361" t="str">
        <f>VLOOKUP(Table4[[#This Row],[reference]],listeMarchandises[],2,FALSE)</f>
        <v>Groupe 2kVA 085</v>
      </c>
      <c r="C361" t="str">
        <f>VLOOKUP(Table4[[#This Row],[reference]],listeMarchandises[],3,FALSE)</f>
        <v>Groupe electrogene</v>
      </c>
      <c r="D361">
        <f>VLOOKUP(Table4[[#This Row],[reference]],listeMarchandises[],4,FALSE)</f>
        <v>8</v>
      </c>
      <c r="E361">
        <f>VLOOKUP(Table4[[#This Row],[reference]],listeMarchandises[],6,FALSE)</f>
        <v>133</v>
      </c>
      <c r="F361">
        <f>SUMIF(listeEntrées[Reference],Table4[[#This Row],[reference]],listeEntrées[Quantite])</f>
        <v>34</v>
      </c>
      <c r="G361">
        <f>SUMIF(listeSorties[Reference],Table4[[#This Row],[reference]],listeSorties[Quantite])</f>
        <v>72</v>
      </c>
      <c r="H361">
        <f>Table4[[#This Row],[stock initial]]+Table4[[#This Row],[entrees]]-Table4[[#This Row],[sorties]]</f>
        <v>95</v>
      </c>
      <c r="I361">
        <f>Table4[[#This Row],[stock final]]*(VLOOKUP(Table4[[#This Row],[reference]],listeMarchandises[],7,FALSE))</f>
        <v>147416953.94999999</v>
      </c>
      <c r="J361" t="str">
        <f>IF(Table4[[#This Row],[valeur]]&lt;=Table4[[#This Row],[seuil d''alerte]],"stock faible","stock normal")</f>
        <v>stock normal</v>
      </c>
    </row>
    <row r="362" spans="1:10" x14ac:dyDescent="0.25">
      <c r="A362" t="s">
        <v>733</v>
      </c>
      <c r="B362" t="str">
        <f>VLOOKUP(Table4[[#This Row],[reference]],listeMarchandises[],2,FALSE)</f>
        <v>Climatiseur 086</v>
      </c>
      <c r="C362" t="str">
        <f>VLOOKUP(Table4[[#This Row],[reference]],listeMarchandises[],3,FALSE)</f>
        <v>Electromenager</v>
      </c>
      <c r="D362">
        <f>VLOOKUP(Table4[[#This Row],[reference]],listeMarchandises[],4,FALSE)</f>
        <v>25</v>
      </c>
      <c r="E362">
        <f>VLOOKUP(Table4[[#This Row],[reference]],listeMarchandises[],6,FALSE)</f>
        <v>357</v>
      </c>
      <c r="F362">
        <f>SUMIF(listeEntrées[Reference],Table4[[#This Row],[reference]],listeEntrées[Quantite])</f>
        <v>63</v>
      </c>
      <c r="G362">
        <f>SUMIF(listeSorties[Reference],Table4[[#This Row],[reference]],listeSorties[Quantite])</f>
        <v>138</v>
      </c>
      <c r="H362">
        <f>Table4[[#This Row],[stock initial]]+Table4[[#This Row],[entrees]]-Table4[[#This Row],[sorties]]</f>
        <v>282</v>
      </c>
      <c r="I362">
        <f>Table4[[#This Row],[stock final]]*(VLOOKUP(Table4[[#This Row],[reference]],listeMarchandises[],7,FALSE))</f>
        <v>95247552.960000008</v>
      </c>
      <c r="J362" t="str">
        <f>IF(Table4[[#This Row],[valeur]]&lt;=Table4[[#This Row],[seuil d''alerte]],"stock faible","stock normal")</f>
        <v>stock normal</v>
      </c>
    </row>
    <row r="363" spans="1:10" x14ac:dyDescent="0.25">
      <c r="A363" t="s">
        <v>735</v>
      </c>
      <c r="B363" t="str">
        <f>VLOOKUP(Table4[[#This Row],[reference]],listeMarchandises[],2,FALSE)</f>
        <v>Piano numerique 094</v>
      </c>
      <c r="C363" t="str">
        <f>VLOOKUP(Table4[[#This Row],[reference]],listeMarchandises[],3,FALSE)</f>
        <v>Instrument de musique</v>
      </c>
      <c r="D363">
        <f>VLOOKUP(Table4[[#This Row],[reference]],listeMarchandises[],4,FALSE)</f>
        <v>13</v>
      </c>
      <c r="E363">
        <f>VLOOKUP(Table4[[#This Row],[reference]],listeMarchandises[],6,FALSE)</f>
        <v>355</v>
      </c>
      <c r="F363">
        <f>SUMIF(listeEntrées[Reference],Table4[[#This Row],[reference]],listeEntrées[Quantite])</f>
        <v>56</v>
      </c>
      <c r="G363">
        <f>SUMIF(listeSorties[Reference],Table4[[#This Row],[reference]],listeSorties[Quantite])</f>
        <v>56</v>
      </c>
      <c r="H363">
        <f>Table4[[#This Row],[stock initial]]+Table4[[#This Row],[entrees]]-Table4[[#This Row],[sorties]]</f>
        <v>355</v>
      </c>
      <c r="I363">
        <f>Table4[[#This Row],[stock final]]*(VLOOKUP(Table4[[#This Row],[reference]],listeMarchandises[],7,FALSE))</f>
        <v>500128867.05000001</v>
      </c>
      <c r="J363" t="str">
        <f>IF(Table4[[#This Row],[valeur]]&lt;=Table4[[#This Row],[seuil d''alerte]],"stock faible","stock normal")</f>
        <v>stock normal</v>
      </c>
    </row>
    <row r="364" spans="1:10" x14ac:dyDescent="0.25">
      <c r="A364" t="s">
        <v>737</v>
      </c>
      <c r="B364" t="str">
        <f>VLOOKUP(Table4[[#This Row],[reference]],listeMarchandises[],2,FALSE)</f>
        <v>Aspirateur 087</v>
      </c>
      <c r="C364" t="str">
        <f>VLOOKUP(Table4[[#This Row],[reference]],listeMarchandises[],3,FALSE)</f>
        <v>Electromenager</v>
      </c>
      <c r="D364">
        <f>VLOOKUP(Table4[[#This Row],[reference]],listeMarchandises[],4,FALSE)</f>
        <v>23</v>
      </c>
      <c r="E364">
        <f>VLOOKUP(Table4[[#This Row],[reference]],listeMarchandises[],6,FALSE)</f>
        <v>119</v>
      </c>
      <c r="F364">
        <f>SUMIF(listeEntrées[Reference],Table4[[#This Row],[reference]],listeEntrées[Quantite])</f>
        <v>72</v>
      </c>
      <c r="G364">
        <f>SUMIF(listeSorties[Reference],Table4[[#This Row],[reference]],listeSorties[Quantite])</f>
        <v>54</v>
      </c>
      <c r="H364">
        <f>Table4[[#This Row],[stock initial]]+Table4[[#This Row],[entrees]]-Table4[[#This Row],[sorties]]</f>
        <v>137</v>
      </c>
      <c r="I364">
        <f>Table4[[#This Row],[stock final]]*(VLOOKUP(Table4[[#This Row],[reference]],listeMarchandises[],7,FALSE))</f>
        <v>155567486.70000002</v>
      </c>
      <c r="J364" t="str">
        <f>IF(Table4[[#This Row],[valeur]]&lt;=Table4[[#This Row],[seuil d''alerte]],"stock faible","stock normal")</f>
        <v>stock normal</v>
      </c>
    </row>
    <row r="365" spans="1:10" x14ac:dyDescent="0.25">
      <c r="A365" t="s">
        <v>739</v>
      </c>
      <c r="B365" t="str">
        <f>VLOOKUP(Table4[[#This Row],[reference]],listeMarchandises[],2,FALSE)</f>
        <v>Fer a repasser 088</v>
      </c>
      <c r="C365" t="str">
        <f>VLOOKUP(Table4[[#This Row],[reference]],listeMarchandises[],3,FALSE)</f>
        <v>Electromenager</v>
      </c>
      <c r="D365">
        <f>VLOOKUP(Table4[[#This Row],[reference]],listeMarchandises[],4,FALSE)</f>
        <v>16</v>
      </c>
      <c r="E365">
        <f>VLOOKUP(Table4[[#This Row],[reference]],listeMarchandises[],6,FALSE)</f>
        <v>262</v>
      </c>
      <c r="F365">
        <f>SUMIF(listeEntrées[Reference],Table4[[#This Row],[reference]],listeEntrées[Quantite])</f>
        <v>0</v>
      </c>
      <c r="G365">
        <f>SUMIF(listeSorties[Reference],Table4[[#This Row],[reference]],listeSorties[Quantite])</f>
        <v>0</v>
      </c>
      <c r="H365">
        <f>Table4[[#This Row],[stock initial]]+Table4[[#This Row],[entrees]]-Table4[[#This Row],[sorties]]</f>
        <v>262</v>
      </c>
      <c r="I365">
        <f>Table4[[#This Row],[stock final]]*(VLOOKUP(Table4[[#This Row],[reference]],listeMarchandises[],7,FALSE))</f>
        <v>39835635.420000002</v>
      </c>
      <c r="J365" t="str">
        <f>IF(Table4[[#This Row],[valeur]]&lt;=Table4[[#This Row],[seuil d''alerte]],"stock faible","stock normal")</f>
        <v>stock normal</v>
      </c>
    </row>
    <row r="366" spans="1:10" x14ac:dyDescent="0.25">
      <c r="A366" t="s">
        <v>741</v>
      </c>
      <c r="B366" t="str">
        <f>VLOOKUP(Table4[[#This Row],[reference]],listeMarchandises[],2,FALSE)</f>
        <v>Clavier arrangeur 095</v>
      </c>
      <c r="C366" t="str">
        <f>VLOOKUP(Table4[[#This Row],[reference]],listeMarchandises[],3,FALSE)</f>
        <v>Instrument de musique</v>
      </c>
      <c r="D366">
        <f>VLOOKUP(Table4[[#This Row],[reference]],listeMarchandises[],4,FALSE)</f>
        <v>16</v>
      </c>
      <c r="E366">
        <f>VLOOKUP(Table4[[#This Row],[reference]],listeMarchandises[],6,FALSE)</f>
        <v>282</v>
      </c>
      <c r="F366">
        <f>SUMIF(listeEntrées[Reference],Table4[[#This Row],[reference]],listeEntrées[Quantite])</f>
        <v>51</v>
      </c>
      <c r="G366">
        <f>SUMIF(listeSorties[Reference],Table4[[#This Row],[reference]],listeSorties[Quantite])</f>
        <v>197</v>
      </c>
      <c r="H366">
        <f>Table4[[#This Row],[stock initial]]+Table4[[#This Row],[entrees]]-Table4[[#This Row],[sorties]]</f>
        <v>136</v>
      </c>
      <c r="I366">
        <f>Table4[[#This Row],[stock final]]*(VLOOKUP(Table4[[#This Row],[reference]],listeMarchandises[],7,FALSE))</f>
        <v>108245698</v>
      </c>
      <c r="J366" t="str">
        <f>IF(Table4[[#This Row],[valeur]]&lt;=Table4[[#This Row],[seuil d''alerte]],"stock faible","stock normal")</f>
        <v>stock normal</v>
      </c>
    </row>
    <row r="367" spans="1:10" x14ac:dyDescent="0.25">
      <c r="A367" t="s">
        <v>743</v>
      </c>
      <c r="B367" t="str">
        <f>VLOOKUP(Table4[[#This Row],[reference]],listeMarchandises[],2,FALSE)</f>
        <v>Mixeur 089</v>
      </c>
      <c r="C367" t="str">
        <f>VLOOKUP(Table4[[#This Row],[reference]],listeMarchandises[],3,FALSE)</f>
        <v>Electromenager</v>
      </c>
      <c r="D367">
        <f>VLOOKUP(Table4[[#This Row],[reference]],listeMarchandises[],4,FALSE)</f>
        <v>10</v>
      </c>
      <c r="E367">
        <f>VLOOKUP(Table4[[#This Row],[reference]],listeMarchandises[],6,FALSE)</f>
        <v>103</v>
      </c>
      <c r="F367">
        <f>SUMIF(listeEntrées[Reference],Table4[[#This Row],[reference]],listeEntrées[Quantite])</f>
        <v>0</v>
      </c>
      <c r="G367">
        <f>SUMIF(listeSorties[Reference],Table4[[#This Row],[reference]],listeSorties[Quantite])</f>
        <v>11</v>
      </c>
      <c r="H367">
        <f>Table4[[#This Row],[stock initial]]+Table4[[#This Row],[entrees]]-Table4[[#This Row],[sorties]]</f>
        <v>92</v>
      </c>
      <c r="I367">
        <f>Table4[[#This Row],[stock final]]*(VLOOKUP(Table4[[#This Row],[reference]],listeMarchandises[],7,FALSE))</f>
        <v>81588950.640000001</v>
      </c>
      <c r="J367" t="str">
        <f>IF(Table4[[#This Row],[valeur]]&lt;=Table4[[#This Row],[seuil d''alerte]],"stock faible","stock normal")</f>
        <v>stock normal</v>
      </c>
    </row>
    <row r="368" spans="1:10" x14ac:dyDescent="0.25">
      <c r="A368" t="s">
        <v>745</v>
      </c>
      <c r="B368" t="str">
        <f>VLOOKUP(Table4[[#This Row],[reference]],listeMarchandises[],2,FALSE)</f>
        <v>Piano numerique 096</v>
      </c>
      <c r="C368" t="str">
        <f>VLOOKUP(Table4[[#This Row],[reference]],listeMarchandises[],3,FALSE)</f>
        <v>Instrument de musique</v>
      </c>
      <c r="D368">
        <f>VLOOKUP(Table4[[#This Row],[reference]],listeMarchandises[],4,FALSE)</f>
        <v>9</v>
      </c>
      <c r="E368">
        <f>VLOOKUP(Table4[[#This Row],[reference]],listeMarchandises[],6,FALSE)</f>
        <v>319</v>
      </c>
      <c r="F368">
        <f>SUMIF(listeEntrées[Reference],Table4[[#This Row],[reference]],listeEntrées[Quantite])</f>
        <v>45</v>
      </c>
      <c r="G368">
        <f>SUMIF(listeSorties[Reference],Table4[[#This Row],[reference]],listeSorties[Quantite])</f>
        <v>51</v>
      </c>
      <c r="H368">
        <f>Table4[[#This Row],[stock initial]]+Table4[[#This Row],[entrees]]-Table4[[#This Row],[sorties]]</f>
        <v>313</v>
      </c>
      <c r="I368">
        <f>Table4[[#This Row],[stock final]]*(VLOOKUP(Table4[[#This Row],[reference]],listeMarchandises[],7,FALSE))</f>
        <v>331742286.63</v>
      </c>
      <c r="J368" t="str">
        <f>IF(Table4[[#This Row],[valeur]]&lt;=Table4[[#This Row],[seuil d''alerte]],"stock faible","stock normal")</f>
        <v>stock normal</v>
      </c>
    </row>
    <row r="369" spans="1:10" x14ac:dyDescent="0.25">
      <c r="A369" t="s">
        <v>747</v>
      </c>
      <c r="B369" t="str">
        <f>VLOOKUP(Table4[[#This Row],[reference]],listeMarchandises[],2,FALSE)</f>
        <v>Piano numerique 097</v>
      </c>
      <c r="C369" t="str">
        <f>VLOOKUP(Table4[[#This Row],[reference]],listeMarchandises[],3,FALSE)</f>
        <v>Instrument de musique</v>
      </c>
      <c r="D369">
        <f>VLOOKUP(Table4[[#This Row],[reference]],listeMarchandises[],4,FALSE)</f>
        <v>5</v>
      </c>
      <c r="E369">
        <f>VLOOKUP(Table4[[#This Row],[reference]],listeMarchandises[],6,FALSE)</f>
        <v>123</v>
      </c>
      <c r="F369">
        <f>SUMIF(listeEntrées[Reference],Table4[[#This Row],[reference]],listeEntrées[Quantite])</f>
        <v>88</v>
      </c>
      <c r="G369">
        <f>SUMIF(listeSorties[Reference],Table4[[#This Row],[reference]],listeSorties[Quantite])</f>
        <v>27</v>
      </c>
      <c r="H369">
        <f>Table4[[#This Row],[stock initial]]+Table4[[#This Row],[entrees]]-Table4[[#This Row],[sorties]]</f>
        <v>184</v>
      </c>
      <c r="I369">
        <f>Table4[[#This Row],[stock final]]*(VLOOKUP(Table4[[#This Row],[reference]],listeMarchandises[],7,FALSE))</f>
        <v>92028017.680000007</v>
      </c>
      <c r="J369" t="str">
        <f>IF(Table4[[#This Row],[valeur]]&lt;=Table4[[#This Row],[seuil d''alerte]],"stock faible","stock normal")</f>
        <v>stock normal</v>
      </c>
    </row>
    <row r="370" spans="1:10" x14ac:dyDescent="0.25">
      <c r="A370" t="s">
        <v>749</v>
      </c>
      <c r="B370" t="str">
        <f>VLOOKUP(Table4[[#This Row],[reference]],listeMarchandises[],2,FALSE)</f>
        <v>Guitare acoustique 098</v>
      </c>
      <c r="C370" t="str">
        <f>VLOOKUP(Table4[[#This Row],[reference]],listeMarchandises[],3,FALSE)</f>
        <v>Instrument de musique</v>
      </c>
      <c r="D370">
        <f>VLOOKUP(Table4[[#This Row],[reference]],listeMarchandises[],4,FALSE)</f>
        <v>22</v>
      </c>
      <c r="E370">
        <f>VLOOKUP(Table4[[#This Row],[reference]],listeMarchandises[],6,FALSE)</f>
        <v>230</v>
      </c>
      <c r="F370">
        <f>SUMIF(listeEntrées[Reference],Table4[[#This Row],[reference]],listeEntrées[Quantite])</f>
        <v>122</v>
      </c>
      <c r="G370">
        <f>SUMIF(listeSorties[Reference],Table4[[#This Row],[reference]],listeSorties[Quantite])</f>
        <v>146</v>
      </c>
      <c r="H370">
        <f>Table4[[#This Row],[stock initial]]+Table4[[#This Row],[entrees]]-Table4[[#This Row],[sorties]]</f>
        <v>206</v>
      </c>
      <c r="I370">
        <f>Table4[[#This Row],[stock final]]*(VLOOKUP(Table4[[#This Row],[reference]],listeMarchandises[],7,FALSE))</f>
        <v>50267609.119999997</v>
      </c>
      <c r="J370" t="str">
        <f>IF(Table4[[#This Row],[valeur]]&lt;=Table4[[#This Row],[seuil d''alerte]],"stock faible","stock normal")</f>
        <v>stock normal</v>
      </c>
    </row>
    <row r="371" spans="1:10" x14ac:dyDescent="0.25">
      <c r="A371" t="s">
        <v>751</v>
      </c>
      <c r="B371" t="str">
        <f>VLOOKUP(Table4[[#This Row],[reference]],listeMarchandises[],2,FALSE)</f>
        <v>Fer a repasser 090</v>
      </c>
      <c r="C371" t="str">
        <f>VLOOKUP(Table4[[#This Row],[reference]],listeMarchandises[],3,FALSE)</f>
        <v>Electromenager</v>
      </c>
      <c r="D371">
        <f>VLOOKUP(Table4[[#This Row],[reference]],listeMarchandises[],4,FALSE)</f>
        <v>12</v>
      </c>
      <c r="E371">
        <f>VLOOKUP(Table4[[#This Row],[reference]],listeMarchandises[],6,FALSE)</f>
        <v>68</v>
      </c>
      <c r="F371">
        <f>SUMIF(listeEntrées[Reference],Table4[[#This Row],[reference]],listeEntrées[Quantite])</f>
        <v>23</v>
      </c>
      <c r="G371">
        <f>SUMIF(listeSorties[Reference],Table4[[#This Row],[reference]],listeSorties[Quantite])</f>
        <v>0</v>
      </c>
      <c r="H371">
        <f>Table4[[#This Row],[stock initial]]+Table4[[#This Row],[entrees]]-Table4[[#This Row],[sorties]]</f>
        <v>91</v>
      </c>
      <c r="I371">
        <f>Table4[[#This Row],[stock final]]*(VLOOKUP(Table4[[#This Row],[reference]],listeMarchandises[],7,FALSE))</f>
        <v>94140986.939999998</v>
      </c>
      <c r="J371" t="str">
        <f>IF(Table4[[#This Row],[valeur]]&lt;=Table4[[#This Row],[seuil d''alerte]],"stock faible","stock normal")</f>
        <v>stock normal</v>
      </c>
    </row>
    <row r="372" spans="1:10" x14ac:dyDescent="0.25">
      <c r="A372" t="s">
        <v>753</v>
      </c>
      <c r="B372" t="str">
        <f>VLOOKUP(Table4[[#This Row],[reference]],listeMarchandises[],2,FALSE)</f>
        <v>Groupe 8kVA 086</v>
      </c>
      <c r="C372" t="str">
        <f>VLOOKUP(Table4[[#This Row],[reference]],listeMarchandises[],3,FALSE)</f>
        <v>Groupe electrogene</v>
      </c>
      <c r="D372">
        <f>VLOOKUP(Table4[[#This Row],[reference]],listeMarchandises[],4,FALSE)</f>
        <v>10</v>
      </c>
      <c r="E372">
        <f>VLOOKUP(Table4[[#This Row],[reference]],listeMarchandises[],6,FALSE)</f>
        <v>42</v>
      </c>
      <c r="F372">
        <f>SUMIF(listeEntrées[Reference],Table4[[#This Row],[reference]],listeEntrées[Quantite])</f>
        <v>60</v>
      </c>
      <c r="G372">
        <f>SUMIF(listeSorties[Reference],Table4[[#This Row],[reference]],listeSorties[Quantite])</f>
        <v>129</v>
      </c>
      <c r="H372">
        <f>Table4[[#This Row],[stock initial]]+Table4[[#This Row],[entrees]]-Table4[[#This Row],[sorties]]</f>
        <v>-27</v>
      </c>
      <c r="I372">
        <f>Table4[[#This Row],[stock final]]*(VLOOKUP(Table4[[#This Row],[reference]],listeMarchandises[],7,FALSE))</f>
        <v>-11475004.050000001</v>
      </c>
      <c r="J372" t="str">
        <f>IF(Table4[[#This Row],[valeur]]&lt;=Table4[[#This Row],[seuil d''alerte]],"stock faible","stock normal")</f>
        <v>stock faible</v>
      </c>
    </row>
    <row r="373" spans="1:10" x14ac:dyDescent="0.25">
      <c r="A373" t="s">
        <v>755</v>
      </c>
      <c r="B373" t="str">
        <f>VLOOKUP(Table4[[#This Row],[reference]],listeMarchandises[],2,FALSE)</f>
        <v>Refrigerateur 091</v>
      </c>
      <c r="C373" t="str">
        <f>VLOOKUP(Table4[[#This Row],[reference]],listeMarchandises[],3,FALSE)</f>
        <v>Electromenager</v>
      </c>
      <c r="D373">
        <f>VLOOKUP(Table4[[#This Row],[reference]],listeMarchandises[],4,FALSE)</f>
        <v>22</v>
      </c>
      <c r="E373">
        <f>VLOOKUP(Table4[[#This Row],[reference]],listeMarchandises[],6,FALSE)</f>
        <v>29</v>
      </c>
      <c r="F373">
        <f>SUMIF(listeEntrées[Reference],Table4[[#This Row],[reference]],listeEntrées[Quantite])</f>
        <v>253</v>
      </c>
      <c r="G373">
        <f>SUMIF(listeSorties[Reference],Table4[[#This Row],[reference]],listeSorties[Quantite])</f>
        <v>18</v>
      </c>
      <c r="H373">
        <f>Table4[[#This Row],[stock initial]]+Table4[[#This Row],[entrees]]-Table4[[#This Row],[sorties]]</f>
        <v>264</v>
      </c>
      <c r="I373">
        <f>Table4[[#This Row],[stock final]]*(VLOOKUP(Table4[[#This Row],[reference]],listeMarchandises[],7,FALSE))</f>
        <v>91832526.719999999</v>
      </c>
      <c r="J373" t="str">
        <f>IF(Table4[[#This Row],[valeur]]&lt;=Table4[[#This Row],[seuil d''alerte]],"stock faible","stock normal")</f>
        <v>stock normal</v>
      </c>
    </row>
    <row r="374" spans="1:10" x14ac:dyDescent="0.25">
      <c r="A374" t="s">
        <v>757</v>
      </c>
      <c r="B374" t="str">
        <f>VLOOKUP(Table4[[#This Row],[reference]],listeMarchandises[],2,FALSE)</f>
        <v>Congelateur 092</v>
      </c>
      <c r="C374" t="str">
        <f>VLOOKUP(Table4[[#This Row],[reference]],listeMarchandises[],3,FALSE)</f>
        <v>Electromenager</v>
      </c>
      <c r="D374">
        <f>VLOOKUP(Table4[[#This Row],[reference]],listeMarchandises[],4,FALSE)</f>
        <v>9</v>
      </c>
      <c r="E374">
        <f>VLOOKUP(Table4[[#This Row],[reference]],listeMarchandises[],6,FALSE)</f>
        <v>201</v>
      </c>
      <c r="F374">
        <f>SUMIF(listeEntrées[Reference],Table4[[#This Row],[reference]],listeEntrées[Quantite])</f>
        <v>412</v>
      </c>
      <c r="G374">
        <f>SUMIF(listeSorties[Reference],Table4[[#This Row],[reference]],listeSorties[Quantite])</f>
        <v>70</v>
      </c>
      <c r="H374">
        <f>Table4[[#This Row],[stock initial]]+Table4[[#This Row],[entrees]]-Table4[[#This Row],[sorties]]</f>
        <v>543</v>
      </c>
      <c r="I374">
        <f>Table4[[#This Row],[stock final]]*(VLOOKUP(Table4[[#This Row],[reference]],listeMarchandises[],7,FALSE))</f>
        <v>95117934.450000003</v>
      </c>
      <c r="J374" t="str">
        <f>IF(Table4[[#This Row],[valeur]]&lt;=Table4[[#This Row],[seuil d''alerte]],"stock faible","stock normal")</f>
        <v>stock normal</v>
      </c>
    </row>
    <row r="375" spans="1:10" x14ac:dyDescent="0.25">
      <c r="A375" t="s">
        <v>759</v>
      </c>
      <c r="B375" t="str">
        <f>VLOOKUP(Table4[[#This Row],[reference]],listeMarchandises[],2,FALSE)</f>
        <v>Smartphone Edge 098</v>
      </c>
      <c r="C375" t="str">
        <f>VLOOKUP(Table4[[#This Row],[reference]],listeMarchandises[],3,FALSE)</f>
        <v>Smartphone</v>
      </c>
      <c r="D375">
        <f>VLOOKUP(Table4[[#This Row],[reference]],listeMarchandises[],4,FALSE)</f>
        <v>16</v>
      </c>
      <c r="E375">
        <f>VLOOKUP(Table4[[#This Row],[reference]],listeMarchandises[],6,FALSE)</f>
        <v>312</v>
      </c>
      <c r="F375">
        <f>SUMIF(listeEntrées[Reference],Table4[[#This Row],[reference]],listeEntrées[Quantite])</f>
        <v>169</v>
      </c>
      <c r="G375">
        <f>SUMIF(listeSorties[Reference],Table4[[#This Row],[reference]],listeSorties[Quantite])</f>
        <v>37</v>
      </c>
      <c r="H375">
        <f>Table4[[#This Row],[stock initial]]+Table4[[#This Row],[entrees]]-Table4[[#This Row],[sorties]]</f>
        <v>444</v>
      </c>
      <c r="I375">
        <f>Table4[[#This Row],[stock final]]*(VLOOKUP(Table4[[#This Row],[reference]],listeMarchandises[],7,FALSE))</f>
        <v>164075458.08000001</v>
      </c>
      <c r="J375" t="str">
        <f>IF(Table4[[#This Row],[valeur]]&lt;=Table4[[#This Row],[seuil d''alerte]],"stock faible","stock normal")</f>
        <v>stock normal</v>
      </c>
    </row>
    <row r="376" spans="1:10" x14ac:dyDescent="0.25">
      <c r="A376" t="s">
        <v>761</v>
      </c>
      <c r="B376" t="str">
        <f>VLOOKUP(Table4[[#This Row],[reference]],listeMarchandises[],2,FALSE)</f>
        <v>Climatiseur 093</v>
      </c>
      <c r="C376" t="str">
        <f>VLOOKUP(Table4[[#This Row],[reference]],listeMarchandises[],3,FALSE)</f>
        <v>Electromenager</v>
      </c>
      <c r="D376">
        <f>VLOOKUP(Table4[[#This Row],[reference]],listeMarchandises[],4,FALSE)</f>
        <v>4</v>
      </c>
      <c r="E376">
        <f>VLOOKUP(Table4[[#This Row],[reference]],listeMarchandises[],6,FALSE)</f>
        <v>127</v>
      </c>
      <c r="F376">
        <f>SUMIF(listeEntrées[Reference],Table4[[#This Row],[reference]],listeEntrées[Quantite])</f>
        <v>38</v>
      </c>
      <c r="G376">
        <f>SUMIF(listeSorties[Reference],Table4[[#This Row],[reference]],listeSorties[Quantite])</f>
        <v>77</v>
      </c>
      <c r="H376">
        <f>Table4[[#This Row],[stock initial]]+Table4[[#This Row],[entrees]]-Table4[[#This Row],[sorties]]</f>
        <v>88</v>
      </c>
      <c r="I376">
        <f>Table4[[#This Row],[stock final]]*(VLOOKUP(Table4[[#This Row],[reference]],listeMarchandises[],7,FALSE))</f>
        <v>78854255.920000002</v>
      </c>
      <c r="J376" t="str">
        <f>IF(Table4[[#This Row],[valeur]]&lt;=Table4[[#This Row],[seuil d''alerte]],"stock faible","stock normal")</f>
        <v>stock normal</v>
      </c>
    </row>
    <row r="377" spans="1:10" x14ac:dyDescent="0.25">
      <c r="A377" t="s">
        <v>763</v>
      </c>
      <c r="B377" t="str">
        <f>VLOOKUP(Table4[[#This Row],[reference]],listeMarchandises[],2,FALSE)</f>
        <v>Guitare acoustique 099</v>
      </c>
      <c r="C377" t="str">
        <f>VLOOKUP(Table4[[#This Row],[reference]],listeMarchandises[],3,FALSE)</f>
        <v>Instrument de musique</v>
      </c>
      <c r="D377">
        <f>VLOOKUP(Table4[[#This Row],[reference]],listeMarchandises[],4,FALSE)</f>
        <v>21</v>
      </c>
      <c r="E377">
        <f>VLOOKUP(Table4[[#This Row],[reference]],listeMarchandises[],6,FALSE)</f>
        <v>255</v>
      </c>
      <c r="F377">
        <f>SUMIF(listeEntrées[Reference],Table4[[#This Row],[reference]],listeEntrées[Quantite])</f>
        <v>94</v>
      </c>
      <c r="G377">
        <f>SUMIF(listeSorties[Reference],Table4[[#This Row],[reference]],listeSorties[Quantite])</f>
        <v>130</v>
      </c>
      <c r="H377">
        <f>Table4[[#This Row],[stock initial]]+Table4[[#This Row],[entrees]]-Table4[[#This Row],[sorties]]</f>
        <v>219</v>
      </c>
      <c r="I377">
        <f>Table4[[#This Row],[stock final]]*(VLOOKUP(Table4[[#This Row],[reference]],listeMarchandises[],7,FALSE))</f>
        <v>59845409.490000002</v>
      </c>
      <c r="J377" t="str">
        <f>IF(Table4[[#This Row],[valeur]]&lt;=Table4[[#This Row],[seuil d''alerte]],"stock faible","stock normal")</f>
        <v>stock normal</v>
      </c>
    </row>
    <row r="378" spans="1:10" x14ac:dyDescent="0.25">
      <c r="A378" t="s">
        <v>765</v>
      </c>
      <c r="B378" t="str">
        <f>VLOOKUP(Table4[[#This Row],[reference]],listeMarchandises[],2,FALSE)</f>
        <v>Aspirateur 094</v>
      </c>
      <c r="C378" t="str">
        <f>VLOOKUP(Table4[[#This Row],[reference]],listeMarchandises[],3,FALSE)</f>
        <v>Electromenager</v>
      </c>
      <c r="D378">
        <f>VLOOKUP(Table4[[#This Row],[reference]],listeMarchandises[],4,FALSE)</f>
        <v>6</v>
      </c>
      <c r="E378">
        <f>VLOOKUP(Table4[[#This Row],[reference]],listeMarchandises[],6,FALSE)</f>
        <v>317</v>
      </c>
      <c r="F378">
        <f>SUMIF(listeEntrées[Reference],Table4[[#This Row],[reference]],listeEntrées[Quantite])</f>
        <v>99</v>
      </c>
      <c r="G378">
        <f>SUMIF(listeSorties[Reference],Table4[[#This Row],[reference]],listeSorties[Quantite])</f>
        <v>32</v>
      </c>
      <c r="H378">
        <f>Table4[[#This Row],[stock initial]]+Table4[[#This Row],[entrees]]-Table4[[#This Row],[sorties]]</f>
        <v>384</v>
      </c>
      <c r="I378">
        <f>Table4[[#This Row],[stock final]]*(VLOOKUP(Table4[[#This Row],[reference]],listeMarchandises[],7,FALSE))</f>
        <v>300375782.39999998</v>
      </c>
      <c r="J378" t="str">
        <f>IF(Table4[[#This Row],[valeur]]&lt;=Table4[[#This Row],[seuil d''alerte]],"stock faible","stock normal")</f>
        <v>stock normal</v>
      </c>
    </row>
    <row r="379" spans="1:10" x14ac:dyDescent="0.25">
      <c r="A379" t="s">
        <v>767</v>
      </c>
      <c r="B379" t="str">
        <f>VLOOKUP(Table4[[#This Row],[reference]],listeMarchandises[],2,FALSE)</f>
        <v>Lave-linge 095</v>
      </c>
      <c r="C379" t="str">
        <f>VLOOKUP(Table4[[#This Row],[reference]],listeMarchandises[],3,FALSE)</f>
        <v>Electromenager</v>
      </c>
      <c r="D379">
        <f>VLOOKUP(Table4[[#This Row],[reference]],listeMarchandises[],4,FALSE)</f>
        <v>3</v>
      </c>
      <c r="E379">
        <f>VLOOKUP(Table4[[#This Row],[reference]],listeMarchandises[],6,FALSE)</f>
        <v>95</v>
      </c>
      <c r="F379">
        <f>SUMIF(listeEntrées[Reference],Table4[[#This Row],[reference]],listeEntrées[Quantite])</f>
        <v>223</v>
      </c>
      <c r="G379">
        <f>SUMIF(listeSorties[Reference],Table4[[#This Row],[reference]],listeSorties[Quantite])</f>
        <v>40</v>
      </c>
      <c r="H379">
        <f>Table4[[#This Row],[stock initial]]+Table4[[#This Row],[entrees]]-Table4[[#This Row],[sorties]]</f>
        <v>278</v>
      </c>
      <c r="I379">
        <f>Table4[[#This Row],[stock final]]*(VLOOKUP(Table4[[#This Row],[reference]],listeMarchandises[],7,FALSE))</f>
        <v>23935872.279999997</v>
      </c>
      <c r="J379" t="str">
        <f>IF(Table4[[#This Row],[valeur]]&lt;=Table4[[#This Row],[seuil d''alerte]],"stock faible","stock normal")</f>
        <v>stock normal</v>
      </c>
    </row>
    <row r="380" spans="1:10" x14ac:dyDescent="0.25">
      <c r="A380" t="s">
        <v>769</v>
      </c>
      <c r="B380" t="str">
        <f>VLOOKUP(Table4[[#This Row],[reference]],listeMarchandises[],2,FALSE)</f>
        <v>Smartphone Lite 099</v>
      </c>
      <c r="C380" t="str">
        <f>VLOOKUP(Table4[[#This Row],[reference]],listeMarchandises[],3,FALSE)</f>
        <v>Smartphone</v>
      </c>
      <c r="D380">
        <f>VLOOKUP(Table4[[#This Row],[reference]],listeMarchandises[],4,FALSE)</f>
        <v>4</v>
      </c>
      <c r="E380">
        <f>VLOOKUP(Table4[[#This Row],[reference]],listeMarchandises[],6,FALSE)</f>
        <v>114</v>
      </c>
      <c r="F380">
        <f>SUMIF(listeEntrées[Reference],Table4[[#This Row],[reference]],listeEntrées[Quantite])</f>
        <v>79</v>
      </c>
      <c r="G380">
        <f>SUMIF(listeSorties[Reference],Table4[[#This Row],[reference]],listeSorties[Quantite])</f>
        <v>16</v>
      </c>
      <c r="H380">
        <f>Table4[[#This Row],[stock initial]]+Table4[[#This Row],[entrees]]-Table4[[#This Row],[sorties]]</f>
        <v>177</v>
      </c>
      <c r="I380">
        <f>Table4[[#This Row],[stock final]]*(VLOOKUP(Table4[[#This Row],[reference]],listeMarchandises[],7,FALSE))</f>
        <v>172061174.31</v>
      </c>
      <c r="J380" t="str">
        <f>IF(Table4[[#This Row],[valeur]]&lt;=Table4[[#This Row],[seuil d''alerte]],"stock faible","stock normal")</f>
        <v>stock normal</v>
      </c>
    </row>
    <row r="381" spans="1:10" x14ac:dyDescent="0.25">
      <c r="A381" t="s">
        <v>771</v>
      </c>
      <c r="B381" t="str">
        <f>VLOOKUP(Table4[[#This Row],[reference]],listeMarchandises[],2,FALSE)</f>
        <v>Groupe 5kVA 087</v>
      </c>
      <c r="C381" t="str">
        <f>VLOOKUP(Table4[[#This Row],[reference]],listeMarchandises[],3,FALSE)</f>
        <v>Groupe electrogene</v>
      </c>
      <c r="D381">
        <f>VLOOKUP(Table4[[#This Row],[reference]],listeMarchandises[],4,FALSE)</f>
        <v>19</v>
      </c>
      <c r="E381">
        <f>VLOOKUP(Table4[[#This Row],[reference]],listeMarchandises[],6,FALSE)</f>
        <v>52</v>
      </c>
      <c r="F381">
        <f>SUMIF(listeEntrées[Reference],Table4[[#This Row],[reference]],listeEntrées[Quantite])</f>
        <v>180</v>
      </c>
      <c r="G381">
        <f>SUMIF(listeSorties[Reference],Table4[[#This Row],[reference]],listeSorties[Quantite])</f>
        <v>0</v>
      </c>
      <c r="H381">
        <f>Table4[[#This Row],[stock initial]]+Table4[[#This Row],[entrees]]-Table4[[#This Row],[sorties]]</f>
        <v>232</v>
      </c>
      <c r="I381">
        <f>Table4[[#This Row],[stock final]]*(VLOOKUP(Table4[[#This Row],[reference]],listeMarchandises[],7,FALSE))</f>
        <v>849785202</v>
      </c>
      <c r="J381" t="str">
        <f>IF(Table4[[#This Row],[valeur]]&lt;=Table4[[#This Row],[seuil d''alerte]],"stock faible","stock normal")</f>
        <v>stock normal</v>
      </c>
    </row>
    <row r="382" spans="1:10" x14ac:dyDescent="0.25">
      <c r="A382" t="s">
        <v>773</v>
      </c>
      <c r="B382" t="str">
        <f>VLOOKUP(Table4[[#This Row],[reference]],listeMarchandises[],2,FALSE)</f>
        <v>Congelateur 096</v>
      </c>
      <c r="C382" t="str">
        <f>VLOOKUP(Table4[[#This Row],[reference]],listeMarchandises[],3,FALSE)</f>
        <v>Electromenager</v>
      </c>
      <c r="D382">
        <f>VLOOKUP(Table4[[#This Row],[reference]],listeMarchandises[],4,FALSE)</f>
        <v>6</v>
      </c>
      <c r="E382">
        <f>VLOOKUP(Table4[[#This Row],[reference]],listeMarchandises[],6,FALSE)</f>
        <v>50</v>
      </c>
      <c r="F382">
        <f>SUMIF(listeEntrées[Reference],Table4[[#This Row],[reference]],listeEntrées[Quantite])</f>
        <v>79</v>
      </c>
      <c r="G382">
        <f>SUMIF(listeSorties[Reference],Table4[[#This Row],[reference]],listeSorties[Quantite])</f>
        <v>62</v>
      </c>
      <c r="H382">
        <f>Table4[[#This Row],[stock initial]]+Table4[[#This Row],[entrees]]-Table4[[#This Row],[sorties]]</f>
        <v>67</v>
      </c>
      <c r="I382">
        <f>Table4[[#This Row],[stock final]]*(VLOOKUP(Table4[[#This Row],[reference]],listeMarchandises[],7,FALSE))</f>
        <v>47734907.770000003</v>
      </c>
      <c r="J382" t="str">
        <f>IF(Table4[[#This Row],[valeur]]&lt;=Table4[[#This Row],[seuil d''alerte]],"stock faible","stock normal")</f>
        <v>stock normal</v>
      </c>
    </row>
    <row r="383" spans="1:10" x14ac:dyDescent="0.25">
      <c r="A383" t="s">
        <v>775</v>
      </c>
      <c r="B383" t="str">
        <f>VLOOKUP(Table4[[#This Row],[reference]],listeMarchandises[],2,FALSE)</f>
        <v>Climatiseur 097</v>
      </c>
      <c r="C383" t="str">
        <f>VLOOKUP(Table4[[#This Row],[reference]],listeMarchandises[],3,FALSE)</f>
        <v>Electromenager</v>
      </c>
      <c r="D383">
        <f>VLOOKUP(Table4[[#This Row],[reference]],listeMarchandises[],4,FALSE)</f>
        <v>3</v>
      </c>
      <c r="E383">
        <f>VLOOKUP(Table4[[#This Row],[reference]],listeMarchandises[],6,FALSE)</f>
        <v>82</v>
      </c>
      <c r="F383">
        <f>SUMIF(listeEntrées[Reference],Table4[[#This Row],[reference]],listeEntrées[Quantite])</f>
        <v>36</v>
      </c>
      <c r="G383">
        <f>SUMIF(listeSorties[Reference],Table4[[#This Row],[reference]],listeSorties[Quantite])</f>
        <v>36</v>
      </c>
      <c r="H383">
        <f>Table4[[#This Row],[stock initial]]+Table4[[#This Row],[entrees]]-Table4[[#This Row],[sorties]]</f>
        <v>82</v>
      </c>
      <c r="I383">
        <f>Table4[[#This Row],[stock final]]*(VLOOKUP(Table4[[#This Row],[reference]],listeMarchandises[],7,FALSE))</f>
        <v>19004816.099999998</v>
      </c>
      <c r="J383" t="str">
        <f>IF(Table4[[#This Row],[valeur]]&lt;=Table4[[#This Row],[seuil d''alerte]],"stock faible","stock normal")</f>
        <v>stock normal</v>
      </c>
    </row>
    <row r="384" spans="1:10" x14ac:dyDescent="0.25">
      <c r="A384" t="s">
        <v>777</v>
      </c>
      <c r="B384" t="str">
        <f>VLOOKUP(Table4[[#This Row],[reference]],listeMarchandises[],2,FALSE)</f>
        <v>Groupe 8kVA 088</v>
      </c>
      <c r="C384" t="str">
        <f>VLOOKUP(Table4[[#This Row],[reference]],listeMarchandises[],3,FALSE)</f>
        <v>Groupe electrogene</v>
      </c>
      <c r="D384">
        <f>VLOOKUP(Table4[[#This Row],[reference]],listeMarchandises[],4,FALSE)</f>
        <v>10</v>
      </c>
      <c r="E384">
        <f>VLOOKUP(Table4[[#This Row],[reference]],listeMarchandises[],6,FALSE)</f>
        <v>20</v>
      </c>
      <c r="F384">
        <f>SUMIF(listeEntrées[Reference],Table4[[#This Row],[reference]],listeEntrées[Quantite])</f>
        <v>343</v>
      </c>
      <c r="G384">
        <f>SUMIF(listeSorties[Reference],Table4[[#This Row],[reference]],listeSorties[Quantite])</f>
        <v>0</v>
      </c>
      <c r="H384">
        <f>Table4[[#This Row],[stock initial]]+Table4[[#This Row],[entrees]]-Table4[[#This Row],[sorties]]</f>
        <v>363</v>
      </c>
      <c r="I384">
        <f>Table4[[#This Row],[stock final]]*(VLOOKUP(Table4[[#This Row],[reference]],listeMarchandises[],7,FALSE))</f>
        <v>960048765.72000003</v>
      </c>
      <c r="J384" t="str">
        <f>IF(Table4[[#This Row],[valeur]]&lt;=Table4[[#This Row],[seuil d''alerte]],"stock faible","stock normal")</f>
        <v>stock normal</v>
      </c>
    </row>
    <row r="385" spans="1:10" x14ac:dyDescent="0.25">
      <c r="A385" t="s">
        <v>779</v>
      </c>
      <c r="B385" t="str">
        <f>VLOOKUP(Table4[[#This Row],[reference]],listeMarchandises[],2,FALSE)</f>
        <v>Groupe silencieux 6kVA 089</v>
      </c>
      <c r="C385" t="str">
        <f>VLOOKUP(Table4[[#This Row],[reference]],listeMarchandises[],3,FALSE)</f>
        <v>Groupe electrogene</v>
      </c>
      <c r="D385">
        <f>VLOOKUP(Table4[[#This Row],[reference]],listeMarchandises[],4,FALSE)</f>
        <v>22</v>
      </c>
      <c r="E385">
        <f>VLOOKUP(Table4[[#This Row],[reference]],listeMarchandises[],6,FALSE)</f>
        <v>281</v>
      </c>
      <c r="F385">
        <f>SUMIF(listeEntrées[Reference],Table4[[#This Row],[reference]],listeEntrées[Quantite])</f>
        <v>74</v>
      </c>
      <c r="G385">
        <f>SUMIF(listeSorties[Reference],Table4[[#This Row],[reference]],listeSorties[Quantite])</f>
        <v>34</v>
      </c>
      <c r="H385">
        <f>Table4[[#This Row],[stock initial]]+Table4[[#This Row],[entrees]]-Table4[[#This Row],[sorties]]</f>
        <v>321</v>
      </c>
      <c r="I385">
        <f>Table4[[#This Row],[stock final]]*(VLOOKUP(Table4[[#This Row],[reference]],listeMarchandises[],7,FALSE))</f>
        <v>325082654.55000001</v>
      </c>
      <c r="J385" t="str">
        <f>IF(Table4[[#This Row],[valeur]]&lt;=Table4[[#This Row],[seuil d''alerte]],"stock faible","stock normal")</f>
        <v>stock normal</v>
      </c>
    </row>
    <row r="386" spans="1:10" x14ac:dyDescent="0.25">
      <c r="A386" t="s">
        <v>781</v>
      </c>
      <c r="B386" t="str">
        <f>VLOOKUP(Table4[[#This Row],[reference]],listeMarchandises[],2,FALSE)</f>
        <v>Lave-linge 098</v>
      </c>
      <c r="C386" t="str">
        <f>VLOOKUP(Table4[[#This Row],[reference]],listeMarchandises[],3,FALSE)</f>
        <v>Electromenager</v>
      </c>
      <c r="D386">
        <f>VLOOKUP(Table4[[#This Row],[reference]],listeMarchandises[],4,FALSE)</f>
        <v>21</v>
      </c>
      <c r="E386">
        <f>VLOOKUP(Table4[[#This Row],[reference]],listeMarchandises[],6,FALSE)</f>
        <v>141</v>
      </c>
      <c r="F386">
        <f>SUMIF(listeEntrées[Reference],Table4[[#This Row],[reference]],listeEntrées[Quantite])</f>
        <v>102</v>
      </c>
      <c r="G386">
        <f>SUMIF(listeSorties[Reference],Table4[[#This Row],[reference]],listeSorties[Quantite])</f>
        <v>244</v>
      </c>
      <c r="H386">
        <f>Table4[[#This Row],[stock initial]]+Table4[[#This Row],[entrees]]-Table4[[#This Row],[sorties]]</f>
        <v>-1</v>
      </c>
      <c r="I386">
        <f>Table4[[#This Row],[stock final]]*(VLOOKUP(Table4[[#This Row],[reference]],listeMarchandises[],7,FALSE))</f>
        <v>-1093708.8600000001</v>
      </c>
      <c r="J386" t="str">
        <f>IF(Table4[[#This Row],[valeur]]&lt;=Table4[[#This Row],[seuil d''alerte]],"stock faible","stock normal")</f>
        <v>stock faible</v>
      </c>
    </row>
    <row r="387" spans="1:10" x14ac:dyDescent="0.25">
      <c r="A387" t="s">
        <v>783</v>
      </c>
      <c r="B387" t="str">
        <f>VLOOKUP(Table4[[#This Row],[reference]],listeMarchandises[],2,FALSE)</f>
        <v>Groupe 5kVA 090</v>
      </c>
      <c r="C387" t="str">
        <f>VLOOKUP(Table4[[#This Row],[reference]],listeMarchandises[],3,FALSE)</f>
        <v>Groupe electrogene</v>
      </c>
      <c r="D387">
        <f>VLOOKUP(Table4[[#This Row],[reference]],listeMarchandises[],4,FALSE)</f>
        <v>15</v>
      </c>
      <c r="E387">
        <f>VLOOKUP(Table4[[#This Row],[reference]],listeMarchandises[],6,FALSE)</f>
        <v>153</v>
      </c>
      <c r="F387">
        <f>SUMIF(listeEntrées[Reference],Table4[[#This Row],[reference]],listeEntrées[Quantite])</f>
        <v>0</v>
      </c>
      <c r="G387">
        <f>SUMIF(listeSorties[Reference],Table4[[#This Row],[reference]],listeSorties[Quantite])</f>
        <v>20</v>
      </c>
      <c r="H387">
        <f>Table4[[#This Row],[stock initial]]+Table4[[#This Row],[entrees]]-Table4[[#This Row],[sorties]]</f>
        <v>133</v>
      </c>
      <c r="I387">
        <f>Table4[[#This Row],[stock final]]*(VLOOKUP(Table4[[#This Row],[reference]],listeMarchandises[],7,FALSE))</f>
        <v>347469529.05000001</v>
      </c>
      <c r="J387" t="str">
        <f>IF(Table4[[#This Row],[valeur]]&lt;=Table4[[#This Row],[seuil d''alerte]],"stock faible","stock normal")</f>
        <v>stock normal</v>
      </c>
    </row>
    <row r="388" spans="1:10" x14ac:dyDescent="0.25">
      <c r="A388" t="s">
        <v>785</v>
      </c>
      <c r="B388" t="str">
        <f>VLOOKUP(Table4[[#This Row],[reference]],listeMarchandises[],2,FALSE)</f>
        <v>Piano numerique 100</v>
      </c>
      <c r="C388" t="str">
        <f>VLOOKUP(Table4[[#This Row],[reference]],listeMarchandises[],3,FALSE)</f>
        <v>Instrument de musique</v>
      </c>
      <c r="D388">
        <f>VLOOKUP(Table4[[#This Row],[reference]],listeMarchandises[],4,FALSE)</f>
        <v>19</v>
      </c>
      <c r="E388">
        <f>VLOOKUP(Table4[[#This Row],[reference]],listeMarchandises[],6,FALSE)</f>
        <v>46</v>
      </c>
      <c r="F388">
        <f>SUMIF(listeEntrées[Reference],Table4[[#This Row],[reference]],listeEntrées[Quantite])</f>
        <v>284</v>
      </c>
      <c r="G388">
        <f>SUMIF(listeSorties[Reference],Table4[[#This Row],[reference]],listeSorties[Quantite])</f>
        <v>1</v>
      </c>
      <c r="H388">
        <f>Table4[[#This Row],[stock initial]]+Table4[[#This Row],[entrees]]-Table4[[#This Row],[sorties]]</f>
        <v>329</v>
      </c>
      <c r="I388">
        <f>Table4[[#This Row],[stock final]]*(VLOOKUP(Table4[[#This Row],[reference]],listeMarchandises[],7,FALSE))</f>
        <v>573476521.16999996</v>
      </c>
      <c r="J388" t="str">
        <f>IF(Table4[[#This Row],[valeur]]&lt;=Table4[[#This Row],[seuil d''alerte]],"stock faible","stock normal")</f>
        <v>stock normal</v>
      </c>
    </row>
    <row r="389" spans="1:10" x14ac:dyDescent="0.25">
      <c r="A389" t="s">
        <v>787</v>
      </c>
      <c r="B389" t="str">
        <f>VLOOKUP(Table4[[#This Row],[reference]],listeMarchandises[],2,FALSE)</f>
        <v>Violon etude 101</v>
      </c>
      <c r="C389" t="str">
        <f>VLOOKUP(Table4[[#This Row],[reference]],listeMarchandises[],3,FALSE)</f>
        <v>Instrument de musique</v>
      </c>
      <c r="D389">
        <f>VLOOKUP(Table4[[#This Row],[reference]],listeMarchandises[],4,FALSE)</f>
        <v>5</v>
      </c>
      <c r="E389">
        <f>VLOOKUP(Table4[[#This Row],[reference]],listeMarchandises[],6,FALSE)</f>
        <v>132</v>
      </c>
      <c r="F389">
        <f>SUMIF(listeEntrées[Reference],Table4[[#This Row],[reference]],listeEntrées[Quantite])</f>
        <v>122</v>
      </c>
      <c r="G389">
        <f>SUMIF(listeSorties[Reference],Table4[[#This Row],[reference]],listeSorties[Quantite])</f>
        <v>53</v>
      </c>
      <c r="H389">
        <f>Table4[[#This Row],[stock initial]]+Table4[[#This Row],[entrees]]-Table4[[#This Row],[sorties]]</f>
        <v>201</v>
      </c>
      <c r="I389">
        <f>Table4[[#This Row],[stock final]]*(VLOOKUP(Table4[[#This Row],[reference]],listeMarchandises[],7,FALSE))</f>
        <v>401203541.51999998</v>
      </c>
      <c r="J389" t="str">
        <f>IF(Table4[[#This Row],[valeur]]&lt;=Table4[[#This Row],[seuil d''alerte]],"stock faible","stock normal")</f>
        <v>stock normal</v>
      </c>
    </row>
    <row r="390" spans="1:10" x14ac:dyDescent="0.25">
      <c r="A390" t="s">
        <v>789</v>
      </c>
      <c r="B390" t="str">
        <f>VLOOKUP(Table4[[#This Row],[reference]],listeMarchandises[],2,FALSE)</f>
        <v>Fer a repasser 099</v>
      </c>
      <c r="C390" t="str">
        <f>VLOOKUP(Table4[[#This Row],[reference]],listeMarchandises[],3,FALSE)</f>
        <v>Electromenager</v>
      </c>
      <c r="D390">
        <f>VLOOKUP(Table4[[#This Row],[reference]],listeMarchandises[],4,FALSE)</f>
        <v>18</v>
      </c>
      <c r="E390">
        <f>VLOOKUP(Table4[[#This Row],[reference]],listeMarchandises[],6,FALSE)</f>
        <v>91</v>
      </c>
      <c r="F390">
        <f>SUMIF(listeEntrées[Reference],Table4[[#This Row],[reference]],listeEntrées[Quantite])</f>
        <v>205</v>
      </c>
      <c r="G390">
        <f>SUMIF(listeSorties[Reference],Table4[[#This Row],[reference]],listeSorties[Quantite])</f>
        <v>0</v>
      </c>
      <c r="H390">
        <f>Table4[[#This Row],[stock initial]]+Table4[[#This Row],[entrees]]-Table4[[#This Row],[sorties]]</f>
        <v>296</v>
      </c>
      <c r="I390">
        <f>Table4[[#This Row],[stock final]]*(VLOOKUP(Table4[[#This Row],[reference]],listeMarchandises[],7,FALSE))</f>
        <v>133747833.83999999</v>
      </c>
      <c r="J390" t="str">
        <f>IF(Table4[[#This Row],[valeur]]&lt;=Table4[[#This Row],[seuil d''alerte]],"stock faible","stock normal")</f>
        <v>stock normal</v>
      </c>
    </row>
    <row r="391" spans="1:10" x14ac:dyDescent="0.25">
      <c r="A391" t="s">
        <v>791</v>
      </c>
      <c r="B391" t="str">
        <f>VLOOKUP(Table4[[#This Row],[reference]],listeMarchandises[],2,FALSE)</f>
        <v>Smartphone Prime 100</v>
      </c>
      <c r="C391" t="str">
        <f>VLOOKUP(Table4[[#This Row],[reference]],listeMarchandises[],3,FALSE)</f>
        <v>Smartphone</v>
      </c>
      <c r="D391">
        <f>VLOOKUP(Table4[[#This Row],[reference]],listeMarchandises[],4,FALSE)</f>
        <v>8</v>
      </c>
      <c r="E391">
        <f>VLOOKUP(Table4[[#This Row],[reference]],listeMarchandises[],6,FALSE)</f>
        <v>221</v>
      </c>
      <c r="F391">
        <f>SUMIF(listeEntrées[Reference],Table4[[#This Row],[reference]],listeEntrées[Quantite])</f>
        <v>0</v>
      </c>
      <c r="G391">
        <f>SUMIF(listeSorties[Reference],Table4[[#This Row],[reference]],listeSorties[Quantite])</f>
        <v>89</v>
      </c>
      <c r="H391">
        <f>Table4[[#This Row],[stock initial]]+Table4[[#This Row],[entrees]]-Table4[[#This Row],[sorties]]</f>
        <v>132</v>
      </c>
      <c r="I391">
        <f>Table4[[#This Row],[stock final]]*(VLOOKUP(Table4[[#This Row],[reference]],listeMarchandises[],7,FALSE))</f>
        <v>103111100.39999999</v>
      </c>
      <c r="J391" t="str">
        <f>IF(Table4[[#This Row],[valeur]]&lt;=Table4[[#This Row],[seuil d''alerte]],"stock faible","stock normal")</f>
        <v>stock normal</v>
      </c>
    </row>
    <row r="392" spans="1:10" x14ac:dyDescent="0.25">
      <c r="A392" t="s">
        <v>793</v>
      </c>
      <c r="B392" t="str">
        <f>VLOOKUP(Table4[[#This Row],[reference]],listeMarchandises[],2,FALSE)</f>
        <v>Groupe silencieux 6kVA 091</v>
      </c>
      <c r="C392" t="str">
        <f>VLOOKUP(Table4[[#This Row],[reference]],listeMarchandises[],3,FALSE)</f>
        <v>Groupe electrogene</v>
      </c>
      <c r="D392">
        <f>VLOOKUP(Table4[[#This Row],[reference]],listeMarchandises[],4,FALSE)</f>
        <v>25</v>
      </c>
      <c r="E392">
        <f>VLOOKUP(Table4[[#This Row],[reference]],listeMarchandises[],6,FALSE)</f>
        <v>268</v>
      </c>
      <c r="F392">
        <f>SUMIF(listeEntrées[Reference],Table4[[#This Row],[reference]],listeEntrées[Quantite])</f>
        <v>0</v>
      </c>
      <c r="G392">
        <f>SUMIF(listeSorties[Reference],Table4[[#This Row],[reference]],listeSorties[Quantite])</f>
        <v>217</v>
      </c>
      <c r="H392">
        <f>Table4[[#This Row],[stock initial]]+Table4[[#This Row],[entrees]]-Table4[[#This Row],[sorties]]</f>
        <v>51</v>
      </c>
      <c r="I392">
        <f>Table4[[#This Row],[stock final]]*(VLOOKUP(Table4[[#This Row],[reference]],listeMarchandises[],7,FALSE))</f>
        <v>22188051.84</v>
      </c>
      <c r="J392" t="str">
        <f>IF(Table4[[#This Row],[valeur]]&lt;=Table4[[#This Row],[seuil d''alerte]],"stock faible","stock normal")</f>
        <v>stock normal</v>
      </c>
    </row>
    <row r="393" spans="1:10" x14ac:dyDescent="0.25">
      <c r="A393" t="s">
        <v>795</v>
      </c>
      <c r="B393" t="str">
        <f>VLOOKUP(Table4[[#This Row],[reference]],listeMarchandises[],2,FALSE)</f>
        <v>Smartphone Edge 101</v>
      </c>
      <c r="C393" t="str">
        <f>VLOOKUP(Table4[[#This Row],[reference]],listeMarchandises[],3,FALSE)</f>
        <v>Smartphone</v>
      </c>
      <c r="D393">
        <f>VLOOKUP(Table4[[#This Row],[reference]],listeMarchandises[],4,FALSE)</f>
        <v>21</v>
      </c>
      <c r="E393">
        <f>VLOOKUP(Table4[[#This Row],[reference]],listeMarchandises[],6,FALSE)</f>
        <v>284</v>
      </c>
      <c r="F393">
        <f>SUMIF(listeEntrées[Reference],Table4[[#This Row],[reference]],listeEntrées[Quantite])</f>
        <v>98</v>
      </c>
      <c r="G393">
        <f>SUMIF(listeSorties[Reference],Table4[[#This Row],[reference]],listeSorties[Quantite])</f>
        <v>62</v>
      </c>
      <c r="H393">
        <f>Table4[[#This Row],[stock initial]]+Table4[[#This Row],[entrees]]-Table4[[#This Row],[sorties]]</f>
        <v>320</v>
      </c>
      <c r="I393">
        <f>Table4[[#This Row],[stock final]]*(VLOOKUP(Table4[[#This Row],[reference]],listeMarchandises[],7,FALSE))</f>
        <v>237381974.40000001</v>
      </c>
      <c r="J393" t="str">
        <f>IF(Table4[[#This Row],[valeur]]&lt;=Table4[[#This Row],[seuil d''alerte]],"stock faible","stock normal")</f>
        <v>stock normal</v>
      </c>
    </row>
    <row r="394" spans="1:10" x14ac:dyDescent="0.25">
      <c r="A394" t="s">
        <v>797</v>
      </c>
      <c r="B394" t="str">
        <f>VLOOKUP(Table4[[#This Row],[reference]],listeMarchandises[],2,FALSE)</f>
        <v>Piano numerique 102</v>
      </c>
      <c r="C394" t="str">
        <f>VLOOKUP(Table4[[#This Row],[reference]],listeMarchandises[],3,FALSE)</f>
        <v>Instrument de musique</v>
      </c>
      <c r="D394">
        <f>VLOOKUP(Table4[[#This Row],[reference]],listeMarchandises[],4,FALSE)</f>
        <v>11</v>
      </c>
      <c r="E394">
        <f>VLOOKUP(Table4[[#This Row],[reference]],listeMarchandises[],6,FALSE)</f>
        <v>18</v>
      </c>
      <c r="F394">
        <f>SUMIF(listeEntrées[Reference],Table4[[#This Row],[reference]],listeEntrées[Quantite])</f>
        <v>11</v>
      </c>
      <c r="G394">
        <f>SUMIF(listeSorties[Reference],Table4[[#This Row],[reference]],listeSorties[Quantite])</f>
        <v>69</v>
      </c>
      <c r="H394">
        <f>Table4[[#This Row],[stock initial]]+Table4[[#This Row],[entrees]]-Table4[[#This Row],[sorties]]</f>
        <v>-40</v>
      </c>
      <c r="I394">
        <f>Table4[[#This Row],[stock final]]*(VLOOKUP(Table4[[#This Row],[reference]],listeMarchandises[],7,FALSE))</f>
        <v>-71924777.599999994</v>
      </c>
      <c r="J394" t="str">
        <f>IF(Table4[[#This Row],[valeur]]&lt;=Table4[[#This Row],[seuil d''alerte]],"stock faible","stock normal")</f>
        <v>stock faible</v>
      </c>
    </row>
    <row r="395" spans="1:10" x14ac:dyDescent="0.25">
      <c r="A395" t="s">
        <v>799</v>
      </c>
      <c r="B395" t="str">
        <f>VLOOKUP(Table4[[#This Row],[reference]],listeMarchandises[],2,FALSE)</f>
        <v>Batterie electronique 103</v>
      </c>
      <c r="C395" t="str">
        <f>VLOOKUP(Table4[[#This Row],[reference]],listeMarchandises[],3,FALSE)</f>
        <v>Instrument de musique</v>
      </c>
      <c r="D395">
        <f>VLOOKUP(Table4[[#This Row],[reference]],listeMarchandises[],4,FALSE)</f>
        <v>7</v>
      </c>
      <c r="E395">
        <f>VLOOKUP(Table4[[#This Row],[reference]],listeMarchandises[],6,FALSE)</f>
        <v>147</v>
      </c>
      <c r="F395">
        <f>SUMIF(listeEntrées[Reference],Table4[[#This Row],[reference]],listeEntrées[Quantite])</f>
        <v>242</v>
      </c>
      <c r="G395">
        <f>SUMIF(listeSorties[Reference],Table4[[#This Row],[reference]],listeSorties[Quantite])</f>
        <v>144</v>
      </c>
      <c r="H395">
        <f>Table4[[#This Row],[stock initial]]+Table4[[#This Row],[entrees]]-Table4[[#This Row],[sorties]]</f>
        <v>245</v>
      </c>
      <c r="I395">
        <f>Table4[[#This Row],[stock final]]*(VLOOKUP(Table4[[#This Row],[reference]],listeMarchandises[],7,FALSE))</f>
        <v>162781082.09999999</v>
      </c>
      <c r="J395" t="str">
        <f>IF(Table4[[#This Row],[valeur]]&lt;=Table4[[#This Row],[seuil d''alerte]],"stock faible","stock normal")</f>
        <v>stock normal</v>
      </c>
    </row>
    <row r="396" spans="1:10" x14ac:dyDescent="0.25">
      <c r="A396" t="s">
        <v>801</v>
      </c>
      <c r="B396" t="str">
        <f>VLOOKUP(Table4[[#This Row],[reference]],listeMarchandises[],2,FALSE)</f>
        <v>Fer a repasser 100</v>
      </c>
      <c r="C396" t="str">
        <f>VLOOKUP(Table4[[#This Row],[reference]],listeMarchandises[],3,FALSE)</f>
        <v>Electromenager</v>
      </c>
      <c r="D396">
        <f>VLOOKUP(Table4[[#This Row],[reference]],listeMarchandises[],4,FALSE)</f>
        <v>11</v>
      </c>
      <c r="E396">
        <f>VLOOKUP(Table4[[#This Row],[reference]],listeMarchandises[],6,FALSE)</f>
        <v>137</v>
      </c>
      <c r="F396">
        <f>SUMIF(listeEntrées[Reference],Table4[[#This Row],[reference]],listeEntrées[Quantite])</f>
        <v>0</v>
      </c>
      <c r="G396">
        <f>SUMIF(listeSorties[Reference],Table4[[#This Row],[reference]],listeSorties[Quantite])</f>
        <v>145</v>
      </c>
      <c r="H396">
        <f>Table4[[#This Row],[stock initial]]+Table4[[#This Row],[entrees]]-Table4[[#This Row],[sorties]]</f>
        <v>-8</v>
      </c>
      <c r="I396">
        <f>Table4[[#This Row],[stock final]]*(VLOOKUP(Table4[[#This Row],[reference]],listeMarchandises[],7,FALSE))</f>
        <v>-4879562.96</v>
      </c>
      <c r="J396" t="str">
        <f>IF(Table4[[#This Row],[valeur]]&lt;=Table4[[#This Row],[seuil d''alerte]],"stock faible","stock normal")</f>
        <v>stock faible</v>
      </c>
    </row>
    <row r="397" spans="1:10" x14ac:dyDescent="0.25">
      <c r="A397" t="s">
        <v>803</v>
      </c>
      <c r="B397" t="str">
        <f>VLOOKUP(Table4[[#This Row],[reference]],listeMarchandises[],2,FALSE)</f>
        <v>Congelateur 101</v>
      </c>
      <c r="C397" t="str">
        <f>VLOOKUP(Table4[[#This Row],[reference]],listeMarchandises[],3,FALSE)</f>
        <v>Electromenager</v>
      </c>
      <c r="D397">
        <f>VLOOKUP(Table4[[#This Row],[reference]],listeMarchandises[],4,FALSE)</f>
        <v>25</v>
      </c>
      <c r="E397">
        <f>VLOOKUP(Table4[[#This Row],[reference]],listeMarchandises[],6,FALSE)</f>
        <v>116</v>
      </c>
      <c r="F397">
        <f>SUMIF(listeEntrées[Reference],Table4[[#This Row],[reference]],listeEntrées[Quantite])</f>
        <v>275</v>
      </c>
      <c r="G397">
        <f>SUMIF(listeSorties[Reference],Table4[[#This Row],[reference]],listeSorties[Quantite])</f>
        <v>0</v>
      </c>
      <c r="H397">
        <f>Table4[[#This Row],[stock initial]]+Table4[[#This Row],[entrees]]-Table4[[#This Row],[sorties]]</f>
        <v>391</v>
      </c>
      <c r="I397">
        <f>Table4[[#This Row],[stock final]]*(VLOOKUP(Table4[[#This Row],[reference]],listeMarchandises[],7,FALSE))</f>
        <v>41052466.32</v>
      </c>
      <c r="J397" t="str">
        <f>IF(Table4[[#This Row],[valeur]]&lt;=Table4[[#This Row],[seuil d''alerte]],"stock faible","stock normal")</f>
        <v>stock normal</v>
      </c>
    </row>
    <row r="398" spans="1:10" x14ac:dyDescent="0.25">
      <c r="A398" t="s">
        <v>805</v>
      </c>
      <c r="B398" t="str">
        <f>VLOOKUP(Table4[[#This Row],[reference]],listeMarchandises[],2,FALSE)</f>
        <v>Groupe 2kVA 092</v>
      </c>
      <c r="C398" t="str">
        <f>VLOOKUP(Table4[[#This Row],[reference]],listeMarchandises[],3,FALSE)</f>
        <v>Groupe electrogene</v>
      </c>
      <c r="D398">
        <f>VLOOKUP(Table4[[#This Row],[reference]],listeMarchandises[],4,FALSE)</f>
        <v>13</v>
      </c>
      <c r="E398">
        <f>VLOOKUP(Table4[[#This Row],[reference]],listeMarchandises[],6,FALSE)</f>
        <v>80</v>
      </c>
      <c r="F398">
        <f>SUMIF(listeEntrées[Reference],Table4[[#This Row],[reference]],listeEntrées[Quantite])</f>
        <v>89</v>
      </c>
      <c r="G398">
        <f>SUMIF(listeSorties[Reference],Table4[[#This Row],[reference]],listeSorties[Quantite])</f>
        <v>130</v>
      </c>
      <c r="H398">
        <f>Table4[[#This Row],[stock initial]]+Table4[[#This Row],[entrees]]-Table4[[#This Row],[sorties]]</f>
        <v>39</v>
      </c>
      <c r="I398">
        <f>Table4[[#This Row],[stock final]]*(VLOOKUP(Table4[[#This Row],[reference]],listeMarchandises[],7,FALSE))</f>
        <v>113268528.75</v>
      </c>
      <c r="J398" t="str">
        <f>IF(Table4[[#This Row],[valeur]]&lt;=Table4[[#This Row],[seuil d''alerte]],"stock faible","stock normal")</f>
        <v>stock normal</v>
      </c>
    </row>
    <row r="399" spans="1:10" x14ac:dyDescent="0.25">
      <c r="A399" t="s">
        <v>807</v>
      </c>
      <c r="B399" t="str">
        <f>VLOOKUP(Table4[[#This Row],[reference]],listeMarchandises[],2,FALSE)</f>
        <v>Congelateur 102</v>
      </c>
      <c r="C399" t="str">
        <f>VLOOKUP(Table4[[#This Row],[reference]],listeMarchandises[],3,FALSE)</f>
        <v>Electromenager</v>
      </c>
      <c r="D399">
        <f>VLOOKUP(Table4[[#This Row],[reference]],listeMarchandises[],4,FALSE)</f>
        <v>11</v>
      </c>
      <c r="E399">
        <f>VLOOKUP(Table4[[#This Row],[reference]],listeMarchandises[],6,FALSE)</f>
        <v>116</v>
      </c>
      <c r="F399">
        <f>SUMIF(listeEntrées[Reference],Table4[[#This Row],[reference]],listeEntrées[Quantite])</f>
        <v>46</v>
      </c>
      <c r="G399">
        <f>SUMIF(listeSorties[Reference],Table4[[#This Row],[reference]],listeSorties[Quantite])</f>
        <v>22</v>
      </c>
      <c r="H399">
        <f>Table4[[#This Row],[stock initial]]+Table4[[#This Row],[entrees]]-Table4[[#This Row],[sorties]]</f>
        <v>140</v>
      </c>
      <c r="I399">
        <f>Table4[[#This Row],[stock final]]*(VLOOKUP(Table4[[#This Row],[reference]],listeMarchandises[],7,FALSE))</f>
        <v>71406395.200000003</v>
      </c>
      <c r="J399" t="str">
        <f>IF(Table4[[#This Row],[valeur]]&lt;=Table4[[#This Row],[seuil d''alerte]],"stock faible","stock normal")</f>
        <v>stock normal</v>
      </c>
    </row>
    <row r="400" spans="1:10" x14ac:dyDescent="0.25">
      <c r="A400" t="s">
        <v>809</v>
      </c>
      <c r="B400" t="str">
        <f>VLOOKUP(Table4[[#This Row],[reference]],listeMarchandises[],2,FALSE)</f>
        <v>Groupe 12kVA 093</v>
      </c>
      <c r="C400" t="str">
        <f>VLOOKUP(Table4[[#This Row],[reference]],listeMarchandises[],3,FALSE)</f>
        <v>Groupe electrogene</v>
      </c>
      <c r="D400">
        <f>VLOOKUP(Table4[[#This Row],[reference]],listeMarchandises[],4,FALSE)</f>
        <v>24</v>
      </c>
      <c r="E400">
        <f>VLOOKUP(Table4[[#This Row],[reference]],listeMarchandises[],6,FALSE)</f>
        <v>191</v>
      </c>
      <c r="F400">
        <f>SUMIF(listeEntrées[Reference],Table4[[#This Row],[reference]],listeEntrées[Quantite])</f>
        <v>58</v>
      </c>
      <c r="G400">
        <f>SUMIF(listeSorties[Reference],Table4[[#This Row],[reference]],listeSorties[Quantite])</f>
        <v>53</v>
      </c>
      <c r="H400">
        <f>Table4[[#This Row],[stock initial]]+Table4[[#This Row],[entrees]]-Table4[[#This Row],[sorties]]</f>
        <v>196</v>
      </c>
      <c r="I400">
        <f>Table4[[#This Row],[stock final]]*(VLOOKUP(Table4[[#This Row],[reference]],listeMarchandises[],7,FALSE))</f>
        <v>516821592.56</v>
      </c>
      <c r="J400" t="str">
        <f>IF(Table4[[#This Row],[valeur]]&lt;=Table4[[#This Row],[seuil d''alerte]],"stock faible","stock normal")</f>
        <v>stock normal</v>
      </c>
    </row>
    <row r="401" spans="1:10" x14ac:dyDescent="0.25">
      <c r="A401" t="s">
        <v>811</v>
      </c>
      <c r="B401" t="str">
        <f>VLOOKUP(Table4[[#This Row],[reference]],listeMarchandises[],2,FALSE)</f>
        <v>Congelateur 103</v>
      </c>
      <c r="C401" t="str">
        <f>VLOOKUP(Table4[[#This Row],[reference]],listeMarchandises[],3,FALSE)</f>
        <v>Electromenager</v>
      </c>
      <c r="D401">
        <f>VLOOKUP(Table4[[#This Row],[reference]],listeMarchandises[],4,FALSE)</f>
        <v>5</v>
      </c>
      <c r="E401">
        <f>VLOOKUP(Table4[[#This Row],[reference]],listeMarchandises[],6,FALSE)</f>
        <v>65</v>
      </c>
      <c r="F401">
        <f>SUMIF(listeEntrées[Reference],Table4[[#This Row],[reference]],listeEntrées[Quantite])</f>
        <v>0</v>
      </c>
      <c r="G401">
        <f>SUMIF(listeSorties[Reference],Table4[[#This Row],[reference]],listeSorties[Quantite])</f>
        <v>0</v>
      </c>
      <c r="H401">
        <f>Table4[[#This Row],[stock initial]]+Table4[[#This Row],[entrees]]-Table4[[#This Row],[sorties]]</f>
        <v>65</v>
      </c>
      <c r="I401">
        <f>Table4[[#This Row],[stock final]]*(VLOOKUP(Table4[[#This Row],[reference]],listeMarchandises[],7,FALSE))</f>
        <v>22046642.800000001</v>
      </c>
      <c r="J401" t="str">
        <f>IF(Table4[[#This Row],[valeur]]&lt;=Table4[[#This Row],[seuil d''alerte]],"stock faible","stock normal")</f>
        <v>stock normal</v>
      </c>
    </row>
    <row r="402" spans="1:10" x14ac:dyDescent="0.25">
      <c r="A402" t="s">
        <v>813</v>
      </c>
      <c r="B402" t="str">
        <f>VLOOKUP(Table4[[#This Row],[reference]],listeMarchandises[],2,FALSE)</f>
        <v>Groupe 8kVA 094</v>
      </c>
      <c r="C402" t="str">
        <f>VLOOKUP(Table4[[#This Row],[reference]],listeMarchandises[],3,FALSE)</f>
        <v>Groupe electrogene</v>
      </c>
      <c r="D402">
        <f>VLOOKUP(Table4[[#This Row],[reference]],listeMarchandises[],4,FALSE)</f>
        <v>25</v>
      </c>
      <c r="E402">
        <f>VLOOKUP(Table4[[#This Row],[reference]],listeMarchandises[],6,FALSE)</f>
        <v>366</v>
      </c>
      <c r="F402">
        <f>SUMIF(listeEntrées[Reference],Table4[[#This Row],[reference]],listeEntrées[Quantite])</f>
        <v>0</v>
      </c>
      <c r="G402">
        <f>SUMIF(listeSorties[Reference],Table4[[#This Row],[reference]],listeSorties[Quantite])</f>
        <v>33</v>
      </c>
      <c r="H402">
        <f>Table4[[#This Row],[stock initial]]+Table4[[#This Row],[entrees]]-Table4[[#This Row],[sorties]]</f>
        <v>333</v>
      </c>
      <c r="I402">
        <f>Table4[[#This Row],[stock final]]*(VLOOKUP(Table4[[#This Row],[reference]],listeMarchandises[],7,FALSE))</f>
        <v>859306140.36000001</v>
      </c>
      <c r="J402" t="str">
        <f>IF(Table4[[#This Row],[valeur]]&lt;=Table4[[#This Row],[seuil d''alerte]],"stock faible","stock normal")</f>
        <v>stock normal</v>
      </c>
    </row>
    <row r="403" spans="1:10" x14ac:dyDescent="0.25">
      <c r="A403" t="s">
        <v>815</v>
      </c>
      <c r="B403" t="str">
        <f>VLOOKUP(Table4[[#This Row],[reference]],listeMarchandises[],2,FALSE)</f>
        <v>Smartphone Prime 102</v>
      </c>
      <c r="C403" t="str">
        <f>VLOOKUP(Table4[[#This Row],[reference]],listeMarchandises[],3,FALSE)</f>
        <v>Smartphone</v>
      </c>
      <c r="D403">
        <f>VLOOKUP(Table4[[#This Row],[reference]],listeMarchandises[],4,FALSE)</f>
        <v>14</v>
      </c>
      <c r="E403">
        <f>VLOOKUP(Table4[[#This Row],[reference]],listeMarchandises[],6,FALSE)</f>
        <v>200</v>
      </c>
      <c r="F403">
        <f>SUMIF(listeEntrées[Reference],Table4[[#This Row],[reference]],listeEntrées[Quantite])</f>
        <v>0</v>
      </c>
      <c r="G403">
        <f>SUMIF(listeSorties[Reference],Table4[[#This Row],[reference]],listeSorties[Quantite])</f>
        <v>46</v>
      </c>
      <c r="H403">
        <f>Table4[[#This Row],[stock initial]]+Table4[[#This Row],[entrees]]-Table4[[#This Row],[sorties]]</f>
        <v>154</v>
      </c>
      <c r="I403">
        <f>Table4[[#This Row],[stock final]]*(VLOOKUP(Table4[[#This Row],[reference]],listeMarchandises[],7,FALSE))</f>
        <v>204177581.29999998</v>
      </c>
      <c r="J403" t="str">
        <f>IF(Table4[[#This Row],[valeur]]&lt;=Table4[[#This Row],[seuil d''alerte]],"stock faible","stock normal")</f>
        <v>stock normal</v>
      </c>
    </row>
    <row r="404" spans="1:10" x14ac:dyDescent="0.25">
      <c r="A404" t="s">
        <v>817</v>
      </c>
      <c r="B404" t="str">
        <f>VLOOKUP(Table4[[#This Row],[reference]],listeMarchandises[],2,FALSE)</f>
        <v>Smartphone Ultra 103</v>
      </c>
      <c r="C404" t="str">
        <f>VLOOKUP(Table4[[#This Row],[reference]],listeMarchandises[],3,FALSE)</f>
        <v>Smartphone</v>
      </c>
      <c r="D404">
        <f>VLOOKUP(Table4[[#This Row],[reference]],listeMarchandises[],4,FALSE)</f>
        <v>10</v>
      </c>
      <c r="E404">
        <f>VLOOKUP(Table4[[#This Row],[reference]],listeMarchandises[],6,FALSE)</f>
        <v>136</v>
      </c>
      <c r="F404">
        <f>SUMIF(listeEntrées[Reference],Table4[[#This Row],[reference]],listeEntrées[Quantite])</f>
        <v>0</v>
      </c>
      <c r="G404">
        <f>SUMIF(listeSorties[Reference],Table4[[#This Row],[reference]],listeSorties[Quantite])</f>
        <v>210</v>
      </c>
      <c r="H404">
        <f>Table4[[#This Row],[stock initial]]+Table4[[#This Row],[entrees]]-Table4[[#This Row],[sorties]]</f>
        <v>-74</v>
      </c>
      <c r="I404">
        <f>Table4[[#This Row],[stock final]]*(VLOOKUP(Table4[[#This Row],[reference]],listeMarchandises[],7,FALSE))</f>
        <v>-88631268.900000006</v>
      </c>
      <c r="J404" t="str">
        <f>IF(Table4[[#This Row],[valeur]]&lt;=Table4[[#This Row],[seuil d''alerte]],"stock faible","stock normal")</f>
        <v>stock faible</v>
      </c>
    </row>
    <row r="405" spans="1:10" x14ac:dyDescent="0.25">
      <c r="A405" t="s">
        <v>819</v>
      </c>
      <c r="B405" t="str">
        <f>VLOOKUP(Table4[[#This Row],[reference]],listeMarchandises[],2,FALSE)</f>
        <v>Smartphone Edge 104</v>
      </c>
      <c r="C405" t="str">
        <f>VLOOKUP(Table4[[#This Row],[reference]],listeMarchandises[],3,FALSE)</f>
        <v>Smartphone</v>
      </c>
      <c r="D405">
        <f>VLOOKUP(Table4[[#This Row],[reference]],listeMarchandises[],4,FALSE)</f>
        <v>3</v>
      </c>
      <c r="E405">
        <f>VLOOKUP(Table4[[#This Row],[reference]],listeMarchandises[],6,FALSE)</f>
        <v>186</v>
      </c>
      <c r="F405">
        <f>SUMIF(listeEntrées[Reference],Table4[[#This Row],[reference]],listeEntrées[Quantite])</f>
        <v>110</v>
      </c>
      <c r="G405">
        <f>SUMIF(listeSorties[Reference],Table4[[#This Row],[reference]],listeSorties[Quantite])</f>
        <v>115</v>
      </c>
      <c r="H405">
        <f>Table4[[#This Row],[stock initial]]+Table4[[#This Row],[entrees]]-Table4[[#This Row],[sorties]]</f>
        <v>181</v>
      </c>
      <c r="I405">
        <f>Table4[[#This Row],[stock final]]*(VLOOKUP(Table4[[#This Row],[reference]],listeMarchandises[],7,FALSE))</f>
        <v>237650094.94999999</v>
      </c>
      <c r="J405" t="str">
        <f>IF(Table4[[#This Row],[valeur]]&lt;=Table4[[#This Row],[seuil d''alerte]],"stock faible","stock normal")</f>
        <v>stock normal</v>
      </c>
    </row>
    <row r="406" spans="1:10" x14ac:dyDescent="0.25">
      <c r="A406" t="s">
        <v>821</v>
      </c>
      <c r="B406" t="str">
        <f>VLOOKUP(Table4[[#This Row],[reference]],listeMarchandises[],2,FALSE)</f>
        <v>Piano numerique 104</v>
      </c>
      <c r="C406" t="str">
        <f>VLOOKUP(Table4[[#This Row],[reference]],listeMarchandises[],3,FALSE)</f>
        <v>Instrument de musique</v>
      </c>
      <c r="D406">
        <f>VLOOKUP(Table4[[#This Row],[reference]],listeMarchandises[],4,FALSE)</f>
        <v>14</v>
      </c>
      <c r="E406">
        <f>VLOOKUP(Table4[[#This Row],[reference]],listeMarchandises[],6,FALSE)</f>
        <v>70</v>
      </c>
      <c r="F406">
        <f>SUMIF(listeEntrées[Reference],Table4[[#This Row],[reference]],listeEntrées[Quantite])</f>
        <v>48</v>
      </c>
      <c r="G406">
        <f>SUMIF(listeSorties[Reference],Table4[[#This Row],[reference]],listeSorties[Quantite])</f>
        <v>21</v>
      </c>
      <c r="H406">
        <f>Table4[[#This Row],[stock initial]]+Table4[[#This Row],[entrees]]-Table4[[#This Row],[sorties]]</f>
        <v>97</v>
      </c>
      <c r="I406">
        <f>Table4[[#This Row],[stock final]]*(VLOOKUP(Table4[[#This Row],[reference]],listeMarchandises[],7,FALSE))</f>
        <v>112215145.48999999</v>
      </c>
      <c r="J406" t="str">
        <f>IF(Table4[[#This Row],[valeur]]&lt;=Table4[[#This Row],[seuil d''alerte]],"stock faible","stock normal")</f>
        <v>stock normal</v>
      </c>
    </row>
    <row r="407" spans="1:10" x14ac:dyDescent="0.25">
      <c r="A407" t="s">
        <v>823</v>
      </c>
      <c r="B407" t="str">
        <f>VLOOKUP(Table4[[#This Row],[reference]],listeMarchandises[],2,FALSE)</f>
        <v>Groupe 5kVA 095</v>
      </c>
      <c r="C407" t="str">
        <f>VLOOKUP(Table4[[#This Row],[reference]],listeMarchandises[],3,FALSE)</f>
        <v>Groupe electrogene</v>
      </c>
      <c r="D407">
        <f>VLOOKUP(Table4[[#This Row],[reference]],listeMarchandises[],4,FALSE)</f>
        <v>25</v>
      </c>
      <c r="E407">
        <f>VLOOKUP(Table4[[#This Row],[reference]],listeMarchandises[],6,FALSE)</f>
        <v>216</v>
      </c>
      <c r="F407">
        <f>SUMIF(listeEntrées[Reference],Table4[[#This Row],[reference]],listeEntrées[Quantite])</f>
        <v>0</v>
      </c>
      <c r="G407">
        <f>SUMIF(listeSorties[Reference],Table4[[#This Row],[reference]],listeSorties[Quantite])</f>
        <v>59</v>
      </c>
      <c r="H407">
        <f>Table4[[#This Row],[stock initial]]+Table4[[#This Row],[entrees]]-Table4[[#This Row],[sorties]]</f>
        <v>157</v>
      </c>
      <c r="I407">
        <f>Table4[[#This Row],[stock final]]*(VLOOKUP(Table4[[#This Row],[reference]],listeMarchandises[],7,FALSE))</f>
        <v>312549396.93000001</v>
      </c>
      <c r="J407" t="str">
        <f>IF(Table4[[#This Row],[valeur]]&lt;=Table4[[#This Row],[seuil d''alerte]],"stock faible","stock normal")</f>
        <v>stock normal</v>
      </c>
    </row>
    <row r="408" spans="1:10" x14ac:dyDescent="0.25">
      <c r="A408" t="s">
        <v>825</v>
      </c>
      <c r="B408" t="str">
        <f>VLOOKUP(Table4[[#This Row],[reference]],listeMarchandises[],2,FALSE)</f>
        <v>Guitare acoustique 105</v>
      </c>
      <c r="C408" t="str">
        <f>VLOOKUP(Table4[[#This Row],[reference]],listeMarchandises[],3,FALSE)</f>
        <v>Instrument de musique</v>
      </c>
      <c r="D408">
        <f>VLOOKUP(Table4[[#This Row],[reference]],listeMarchandises[],4,FALSE)</f>
        <v>7</v>
      </c>
      <c r="E408">
        <f>VLOOKUP(Table4[[#This Row],[reference]],listeMarchandises[],6,FALSE)</f>
        <v>246</v>
      </c>
      <c r="F408">
        <f>SUMIF(listeEntrées[Reference],Table4[[#This Row],[reference]],listeEntrées[Quantite])</f>
        <v>173</v>
      </c>
      <c r="G408">
        <f>SUMIF(listeSorties[Reference],Table4[[#This Row],[reference]],listeSorties[Quantite])</f>
        <v>112</v>
      </c>
      <c r="H408">
        <f>Table4[[#This Row],[stock initial]]+Table4[[#This Row],[entrees]]-Table4[[#This Row],[sorties]]</f>
        <v>307</v>
      </c>
      <c r="I408">
        <f>Table4[[#This Row],[stock final]]*(VLOOKUP(Table4[[#This Row],[reference]],listeMarchandises[],7,FALSE))</f>
        <v>561097360.89999998</v>
      </c>
      <c r="J408" t="str">
        <f>IF(Table4[[#This Row],[valeur]]&lt;=Table4[[#This Row],[seuil d''alerte]],"stock faible","stock normal")</f>
        <v>stock normal</v>
      </c>
    </row>
    <row r="409" spans="1:10" x14ac:dyDescent="0.25">
      <c r="A409" t="s">
        <v>827</v>
      </c>
      <c r="B409" t="str">
        <f>VLOOKUP(Table4[[#This Row],[reference]],listeMarchandises[],2,FALSE)</f>
        <v>Groupe 2kVA 096</v>
      </c>
      <c r="C409" t="str">
        <f>VLOOKUP(Table4[[#This Row],[reference]],listeMarchandises[],3,FALSE)</f>
        <v>Groupe electrogene</v>
      </c>
      <c r="D409">
        <f>VLOOKUP(Table4[[#This Row],[reference]],listeMarchandises[],4,FALSE)</f>
        <v>15</v>
      </c>
      <c r="E409">
        <f>VLOOKUP(Table4[[#This Row],[reference]],listeMarchandises[],6,FALSE)</f>
        <v>271</v>
      </c>
      <c r="F409">
        <f>SUMIF(listeEntrées[Reference],Table4[[#This Row],[reference]],listeEntrées[Quantite])</f>
        <v>91</v>
      </c>
      <c r="G409">
        <f>SUMIF(listeSorties[Reference],Table4[[#This Row],[reference]],listeSorties[Quantite])</f>
        <v>96</v>
      </c>
      <c r="H409">
        <f>Table4[[#This Row],[stock initial]]+Table4[[#This Row],[entrees]]-Table4[[#This Row],[sorties]]</f>
        <v>266</v>
      </c>
      <c r="I409">
        <f>Table4[[#This Row],[stock final]]*(VLOOKUP(Table4[[#This Row],[reference]],listeMarchandises[],7,FALSE))</f>
        <v>583485342.72000003</v>
      </c>
      <c r="J409" t="str">
        <f>IF(Table4[[#This Row],[valeur]]&lt;=Table4[[#This Row],[seuil d''alerte]],"stock faible","stock normal")</f>
        <v>stock normal</v>
      </c>
    </row>
    <row r="410" spans="1:10" x14ac:dyDescent="0.25">
      <c r="A410" t="s">
        <v>829</v>
      </c>
      <c r="B410" t="str">
        <f>VLOOKUP(Table4[[#This Row],[reference]],listeMarchandises[],2,FALSE)</f>
        <v>Saxophone alto 106</v>
      </c>
      <c r="C410" t="str">
        <f>VLOOKUP(Table4[[#This Row],[reference]],listeMarchandises[],3,FALSE)</f>
        <v>Instrument de musique</v>
      </c>
      <c r="D410">
        <f>VLOOKUP(Table4[[#This Row],[reference]],listeMarchandises[],4,FALSE)</f>
        <v>20</v>
      </c>
      <c r="E410">
        <f>VLOOKUP(Table4[[#This Row],[reference]],listeMarchandises[],6,FALSE)</f>
        <v>42</v>
      </c>
      <c r="F410">
        <f>SUMIF(listeEntrées[Reference],Table4[[#This Row],[reference]],listeEntrées[Quantite])</f>
        <v>120</v>
      </c>
      <c r="G410">
        <f>SUMIF(listeSorties[Reference],Table4[[#This Row],[reference]],listeSorties[Quantite])</f>
        <v>0</v>
      </c>
      <c r="H410">
        <f>Table4[[#This Row],[stock initial]]+Table4[[#This Row],[entrees]]-Table4[[#This Row],[sorties]]</f>
        <v>162</v>
      </c>
      <c r="I410">
        <f>Table4[[#This Row],[stock final]]*(VLOOKUP(Table4[[#This Row],[reference]],listeMarchandises[],7,FALSE))</f>
        <v>37056084.120000005</v>
      </c>
      <c r="J410" t="str">
        <f>IF(Table4[[#This Row],[valeur]]&lt;=Table4[[#This Row],[seuil d''alerte]],"stock faible","stock normal")</f>
        <v>stock normal</v>
      </c>
    </row>
    <row r="411" spans="1:10" x14ac:dyDescent="0.25">
      <c r="A411" t="s">
        <v>831</v>
      </c>
      <c r="B411" t="str">
        <f>VLOOKUP(Table4[[#This Row],[reference]],listeMarchandises[],2,FALSE)</f>
        <v>Congelateur 104</v>
      </c>
      <c r="C411" t="str">
        <f>VLOOKUP(Table4[[#This Row],[reference]],listeMarchandises[],3,FALSE)</f>
        <v>Electromenager</v>
      </c>
      <c r="D411">
        <f>VLOOKUP(Table4[[#This Row],[reference]],listeMarchandises[],4,FALSE)</f>
        <v>25</v>
      </c>
      <c r="E411">
        <f>VLOOKUP(Table4[[#This Row],[reference]],listeMarchandises[],6,FALSE)</f>
        <v>350</v>
      </c>
      <c r="F411">
        <f>SUMIF(listeEntrées[Reference],Table4[[#This Row],[reference]],listeEntrées[Quantite])</f>
        <v>193</v>
      </c>
      <c r="G411">
        <f>SUMIF(listeSorties[Reference],Table4[[#This Row],[reference]],listeSorties[Quantite])</f>
        <v>22</v>
      </c>
      <c r="H411">
        <f>Table4[[#This Row],[stock initial]]+Table4[[#This Row],[entrees]]-Table4[[#This Row],[sorties]]</f>
        <v>521</v>
      </c>
      <c r="I411">
        <f>Table4[[#This Row],[stock final]]*(VLOOKUP(Table4[[#This Row],[reference]],listeMarchandises[],7,FALSE))</f>
        <v>246344758.22999999</v>
      </c>
      <c r="J411" t="str">
        <f>IF(Table4[[#This Row],[valeur]]&lt;=Table4[[#This Row],[seuil d''alerte]],"stock faible","stock normal")</f>
        <v>stock normal</v>
      </c>
    </row>
    <row r="412" spans="1:10" x14ac:dyDescent="0.25">
      <c r="A412" t="s">
        <v>833</v>
      </c>
      <c r="B412" t="str">
        <f>VLOOKUP(Table4[[#This Row],[reference]],listeMarchandises[],2,FALSE)</f>
        <v>Clavier arrangeur 107</v>
      </c>
      <c r="C412" t="str">
        <f>VLOOKUP(Table4[[#This Row],[reference]],listeMarchandises[],3,FALSE)</f>
        <v>Instrument de musique</v>
      </c>
      <c r="D412">
        <f>VLOOKUP(Table4[[#This Row],[reference]],listeMarchandises[],4,FALSE)</f>
        <v>8</v>
      </c>
      <c r="E412">
        <f>VLOOKUP(Table4[[#This Row],[reference]],listeMarchandises[],6,FALSE)</f>
        <v>243</v>
      </c>
      <c r="F412">
        <f>SUMIF(listeEntrées[Reference],Table4[[#This Row],[reference]],listeEntrées[Quantite])</f>
        <v>74</v>
      </c>
      <c r="G412">
        <f>SUMIF(listeSorties[Reference],Table4[[#This Row],[reference]],listeSorties[Quantite])</f>
        <v>0</v>
      </c>
      <c r="H412">
        <f>Table4[[#This Row],[stock initial]]+Table4[[#This Row],[entrees]]-Table4[[#This Row],[sorties]]</f>
        <v>317</v>
      </c>
      <c r="I412">
        <f>Table4[[#This Row],[stock final]]*(VLOOKUP(Table4[[#This Row],[reference]],listeMarchandises[],7,FALSE))</f>
        <v>179587359.88</v>
      </c>
      <c r="J412" t="str">
        <f>IF(Table4[[#This Row],[valeur]]&lt;=Table4[[#This Row],[seuil d''alerte]],"stock faible","stock normal")</f>
        <v>stock normal</v>
      </c>
    </row>
    <row r="413" spans="1:10" x14ac:dyDescent="0.25">
      <c r="A413" t="s">
        <v>835</v>
      </c>
      <c r="B413" t="str">
        <f>VLOOKUP(Table4[[#This Row],[reference]],listeMarchandises[],2,FALSE)</f>
        <v>Guitare acoustique 108</v>
      </c>
      <c r="C413" t="str">
        <f>VLOOKUP(Table4[[#This Row],[reference]],listeMarchandises[],3,FALSE)</f>
        <v>Instrument de musique</v>
      </c>
      <c r="D413">
        <f>VLOOKUP(Table4[[#This Row],[reference]],listeMarchandises[],4,FALSE)</f>
        <v>13</v>
      </c>
      <c r="E413">
        <f>VLOOKUP(Table4[[#This Row],[reference]],listeMarchandises[],6,FALSE)</f>
        <v>323</v>
      </c>
      <c r="F413">
        <f>SUMIF(listeEntrées[Reference],Table4[[#This Row],[reference]],listeEntrées[Quantite])</f>
        <v>2</v>
      </c>
      <c r="G413">
        <f>SUMIF(listeSorties[Reference],Table4[[#This Row],[reference]],listeSorties[Quantite])</f>
        <v>24</v>
      </c>
      <c r="H413">
        <f>Table4[[#This Row],[stock initial]]+Table4[[#This Row],[entrees]]-Table4[[#This Row],[sorties]]</f>
        <v>301</v>
      </c>
      <c r="I413">
        <f>Table4[[#This Row],[stock final]]*(VLOOKUP(Table4[[#This Row],[reference]],listeMarchandises[],7,FALSE))</f>
        <v>145992832.02000001</v>
      </c>
      <c r="J413" t="str">
        <f>IF(Table4[[#This Row],[valeur]]&lt;=Table4[[#This Row],[seuil d''alerte]],"stock faible","stock normal")</f>
        <v>stock normal</v>
      </c>
    </row>
    <row r="414" spans="1:10" x14ac:dyDescent="0.25">
      <c r="A414" t="s">
        <v>837</v>
      </c>
      <c r="B414" t="str">
        <f>VLOOKUP(Table4[[#This Row],[reference]],listeMarchandises[],2,FALSE)</f>
        <v>Groupe 5kVA 097</v>
      </c>
      <c r="C414" t="str">
        <f>VLOOKUP(Table4[[#This Row],[reference]],listeMarchandises[],3,FALSE)</f>
        <v>Groupe electrogene</v>
      </c>
      <c r="D414">
        <f>VLOOKUP(Table4[[#This Row],[reference]],listeMarchandises[],4,FALSE)</f>
        <v>16</v>
      </c>
      <c r="E414">
        <f>VLOOKUP(Table4[[#This Row],[reference]],listeMarchandises[],6,FALSE)</f>
        <v>335</v>
      </c>
      <c r="F414">
        <f>SUMIF(listeEntrées[Reference],Table4[[#This Row],[reference]],listeEntrées[Quantite])</f>
        <v>284</v>
      </c>
      <c r="G414">
        <f>SUMIF(listeSorties[Reference],Table4[[#This Row],[reference]],listeSorties[Quantite])</f>
        <v>155</v>
      </c>
      <c r="H414">
        <f>Table4[[#This Row],[stock initial]]+Table4[[#This Row],[entrees]]-Table4[[#This Row],[sorties]]</f>
        <v>464</v>
      </c>
      <c r="I414">
        <f>Table4[[#This Row],[stock final]]*(VLOOKUP(Table4[[#This Row],[reference]],listeMarchandises[],7,FALSE))</f>
        <v>1579146080.48</v>
      </c>
      <c r="J414" t="str">
        <f>IF(Table4[[#This Row],[valeur]]&lt;=Table4[[#This Row],[seuil d''alerte]],"stock faible","stock normal")</f>
        <v>stock normal</v>
      </c>
    </row>
    <row r="415" spans="1:10" x14ac:dyDescent="0.25">
      <c r="A415" t="s">
        <v>839</v>
      </c>
      <c r="B415" t="str">
        <f>VLOOKUP(Table4[[#This Row],[reference]],listeMarchandises[],2,FALSE)</f>
        <v>Aspirateur 105</v>
      </c>
      <c r="C415" t="str">
        <f>VLOOKUP(Table4[[#This Row],[reference]],listeMarchandises[],3,FALSE)</f>
        <v>Electromenager</v>
      </c>
      <c r="D415">
        <f>VLOOKUP(Table4[[#This Row],[reference]],listeMarchandises[],4,FALSE)</f>
        <v>20</v>
      </c>
      <c r="E415">
        <f>VLOOKUP(Table4[[#This Row],[reference]],listeMarchandises[],6,FALSE)</f>
        <v>191</v>
      </c>
      <c r="F415">
        <f>SUMIF(listeEntrées[Reference],Table4[[#This Row],[reference]],listeEntrées[Quantite])</f>
        <v>0</v>
      </c>
      <c r="G415">
        <f>SUMIF(listeSorties[Reference],Table4[[#This Row],[reference]],listeSorties[Quantite])</f>
        <v>114</v>
      </c>
      <c r="H415">
        <f>Table4[[#This Row],[stock initial]]+Table4[[#This Row],[entrees]]-Table4[[#This Row],[sorties]]</f>
        <v>77</v>
      </c>
      <c r="I415">
        <f>Table4[[#This Row],[stock final]]*(VLOOKUP(Table4[[#This Row],[reference]],listeMarchandises[],7,FALSE))</f>
        <v>56725397.189999998</v>
      </c>
      <c r="J415" t="str">
        <f>IF(Table4[[#This Row],[valeur]]&lt;=Table4[[#This Row],[seuil d''alerte]],"stock faible","stock normal")</f>
        <v>stock normal</v>
      </c>
    </row>
    <row r="416" spans="1:10" x14ac:dyDescent="0.25">
      <c r="A416" t="s">
        <v>841</v>
      </c>
      <c r="B416" t="str">
        <f>VLOOKUP(Table4[[#This Row],[reference]],listeMarchandises[],2,FALSE)</f>
        <v>Groupe 5kVA 098</v>
      </c>
      <c r="C416" t="str">
        <f>VLOOKUP(Table4[[#This Row],[reference]],listeMarchandises[],3,FALSE)</f>
        <v>Groupe electrogene</v>
      </c>
      <c r="D416">
        <f>VLOOKUP(Table4[[#This Row],[reference]],listeMarchandises[],4,FALSE)</f>
        <v>3</v>
      </c>
      <c r="E416">
        <f>VLOOKUP(Table4[[#This Row],[reference]],listeMarchandises[],6,FALSE)</f>
        <v>41</v>
      </c>
      <c r="F416">
        <f>SUMIF(listeEntrées[Reference],Table4[[#This Row],[reference]],listeEntrées[Quantite])</f>
        <v>43</v>
      </c>
      <c r="G416">
        <f>SUMIF(listeSorties[Reference],Table4[[#This Row],[reference]],listeSorties[Quantite])</f>
        <v>91</v>
      </c>
      <c r="H416">
        <f>Table4[[#This Row],[stock initial]]+Table4[[#This Row],[entrees]]-Table4[[#This Row],[sorties]]</f>
        <v>-7</v>
      </c>
      <c r="I416">
        <f>Table4[[#This Row],[stock final]]*(VLOOKUP(Table4[[#This Row],[reference]],listeMarchandises[],7,FALSE))</f>
        <v>-19272754.620000001</v>
      </c>
      <c r="J416" t="str">
        <f>IF(Table4[[#This Row],[valeur]]&lt;=Table4[[#This Row],[seuil d''alerte]],"stock faible","stock normal")</f>
        <v>stock faible</v>
      </c>
    </row>
    <row r="417" spans="1:10" x14ac:dyDescent="0.25">
      <c r="A417" t="s">
        <v>843</v>
      </c>
      <c r="B417" t="str">
        <f>VLOOKUP(Table4[[#This Row],[reference]],listeMarchandises[],2,FALSE)</f>
        <v>Groupe 12kVA 099</v>
      </c>
      <c r="C417" t="str">
        <f>VLOOKUP(Table4[[#This Row],[reference]],listeMarchandises[],3,FALSE)</f>
        <v>Groupe electrogene</v>
      </c>
      <c r="D417">
        <f>VLOOKUP(Table4[[#This Row],[reference]],listeMarchandises[],4,FALSE)</f>
        <v>5</v>
      </c>
      <c r="E417">
        <f>VLOOKUP(Table4[[#This Row],[reference]],listeMarchandises[],6,FALSE)</f>
        <v>163</v>
      </c>
      <c r="F417">
        <f>SUMIF(listeEntrées[Reference],Table4[[#This Row],[reference]],listeEntrées[Quantite])</f>
        <v>311</v>
      </c>
      <c r="G417">
        <f>SUMIF(listeSorties[Reference],Table4[[#This Row],[reference]],listeSorties[Quantite])</f>
        <v>35</v>
      </c>
      <c r="H417">
        <f>Table4[[#This Row],[stock initial]]+Table4[[#This Row],[entrees]]-Table4[[#This Row],[sorties]]</f>
        <v>439</v>
      </c>
      <c r="I417">
        <f>Table4[[#This Row],[stock final]]*(VLOOKUP(Table4[[#This Row],[reference]],listeMarchandises[],7,FALSE))</f>
        <v>894386162.29000008</v>
      </c>
      <c r="J417" t="str">
        <f>IF(Table4[[#This Row],[valeur]]&lt;=Table4[[#This Row],[seuil d''alerte]],"stock faible","stock normal")</f>
        <v>stock normal</v>
      </c>
    </row>
    <row r="418" spans="1:10" x14ac:dyDescent="0.25">
      <c r="A418" t="s">
        <v>845</v>
      </c>
      <c r="B418" t="str">
        <f>VLOOKUP(Table4[[#This Row],[reference]],listeMarchandises[],2,FALSE)</f>
        <v>Congelateur 106</v>
      </c>
      <c r="C418" t="str">
        <f>VLOOKUP(Table4[[#This Row],[reference]],listeMarchandises[],3,FALSE)</f>
        <v>Electromenager</v>
      </c>
      <c r="D418">
        <f>VLOOKUP(Table4[[#This Row],[reference]],listeMarchandises[],4,FALSE)</f>
        <v>14</v>
      </c>
      <c r="E418">
        <f>VLOOKUP(Table4[[#This Row],[reference]],listeMarchandises[],6,FALSE)</f>
        <v>299</v>
      </c>
      <c r="F418">
        <f>SUMIF(listeEntrées[Reference],Table4[[#This Row],[reference]],listeEntrées[Quantite])</f>
        <v>0</v>
      </c>
      <c r="G418">
        <f>SUMIF(listeSorties[Reference],Table4[[#This Row],[reference]],listeSorties[Quantite])</f>
        <v>68</v>
      </c>
      <c r="H418">
        <f>Table4[[#This Row],[stock initial]]+Table4[[#This Row],[entrees]]-Table4[[#This Row],[sorties]]</f>
        <v>231</v>
      </c>
      <c r="I418">
        <f>Table4[[#This Row],[stock final]]*(VLOOKUP(Table4[[#This Row],[reference]],listeMarchandises[],7,FALSE))</f>
        <v>205809454.62</v>
      </c>
      <c r="J418" t="str">
        <f>IF(Table4[[#This Row],[valeur]]&lt;=Table4[[#This Row],[seuil d''alerte]],"stock faible","stock normal")</f>
        <v>stock normal</v>
      </c>
    </row>
    <row r="419" spans="1:10" x14ac:dyDescent="0.25">
      <c r="A419" t="s">
        <v>847</v>
      </c>
      <c r="B419" t="str">
        <f>VLOOKUP(Table4[[#This Row],[reference]],listeMarchandises[],2,FALSE)</f>
        <v>Groupe 5kVA 100</v>
      </c>
      <c r="C419" t="str">
        <f>VLOOKUP(Table4[[#This Row],[reference]],listeMarchandises[],3,FALSE)</f>
        <v>Groupe electrogene</v>
      </c>
      <c r="D419">
        <f>VLOOKUP(Table4[[#This Row],[reference]],listeMarchandises[],4,FALSE)</f>
        <v>16</v>
      </c>
      <c r="E419">
        <f>VLOOKUP(Table4[[#This Row],[reference]],listeMarchandises[],6,FALSE)</f>
        <v>223</v>
      </c>
      <c r="F419">
        <f>SUMIF(listeEntrées[Reference],Table4[[#This Row],[reference]],listeEntrées[Quantite])</f>
        <v>244</v>
      </c>
      <c r="G419">
        <f>SUMIF(listeSorties[Reference],Table4[[#This Row],[reference]],listeSorties[Quantite])</f>
        <v>0</v>
      </c>
      <c r="H419">
        <f>Table4[[#This Row],[stock initial]]+Table4[[#This Row],[entrees]]-Table4[[#This Row],[sorties]]</f>
        <v>467</v>
      </c>
      <c r="I419">
        <f>Table4[[#This Row],[stock final]]*(VLOOKUP(Table4[[#This Row],[reference]],listeMarchandises[],7,FALSE))</f>
        <v>543425250.5</v>
      </c>
      <c r="J419" t="str">
        <f>IF(Table4[[#This Row],[valeur]]&lt;=Table4[[#This Row],[seuil d''alerte]],"stock faible","stock normal")</f>
        <v>stock normal</v>
      </c>
    </row>
    <row r="420" spans="1:10" x14ac:dyDescent="0.25">
      <c r="A420" t="s">
        <v>849</v>
      </c>
      <c r="B420" t="str">
        <f>VLOOKUP(Table4[[#This Row],[reference]],listeMarchandises[],2,FALSE)</f>
        <v>Saxophone alto 109</v>
      </c>
      <c r="C420" t="str">
        <f>VLOOKUP(Table4[[#This Row],[reference]],listeMarchandises[],3,FALSE)</f>
        <v>Instrument de musique</v>
      </c>
      <c r="D420">
        <f>VLOOKUP(Table4[[#This Row],[reference]],listeMarchandises[],4,FALSE)</f>
        <v>15</v>
      </c>
      <c r="E420">
        <f>VLOOKUP(Table4[[#This Row],[reference]],listeMarchandises[],6,FALSE)</f>
        <v>327</v>
      </c>
      <c r="F420">
        <f>SUMIF(listeEntrées[Reference],Table4[[#This Row],[reference]],listeEntrées[Quantite])</f>
        <v>66</v>
      </c>
      <c r="G420">
        <f>SUMIF(listeSorties[Reference],Table4[[#This Row],[reference]],listeSorties[Quantite])</f>
        <v>0</v>
      </c>
      <c r="H420">
        <f>Table4[[#This Row],[stock initial]]+Table4[[#This Row],[entrees]]-Table4[[#This Row],[sorties]]</f>
        <v>393</v>
      </c>
      <c r="I420">
        <f>Table4[[#This Row],[stock final]]*(VLOOKUP(Table4[[#This Row],[reference]],listeMarchandises[],7,FALSE))</f>
        <v>59530130.880000003</v>
      </c>
      <c r="J420" t="str">
        <f>IF(Table4[[#This Row],[valeur]]&lt;=Table4[[#This Row],[seuil d''alerte]],"stock faible","stock normal")</f>
        <v>stock normal</v>
      </c>
    </row>
    <row r="421" spans="1:10" x14ac:dyDescent="0.25">
      <c r="A421" t="s">
        <v>851</v>
      </c>
      <c r="B421" t="str">
        <f>VLOOKUP(Table4[[#This Row],[reference]],listeMarchandises[],2,FALSE)</f>
        <v>Smartphone Prime 105</v>
      </c>
      <c r="C421" t="str">
        <f>VLOOKUP(Table4[[#This Row],[reference]],listeMarchandises[],3,FALSE)</f>
        <v>Smartphone</v>
      </c>
      <c r="D421">
        <f>VLOOKUP(Table4[[#This Row],[reference]],listeMarchandises[],4,FALSE)</f>
        <v>15</v>
      </c>
      <c r="E421">
        <f>VLOOKUP(Table4[[#This Row],[reference]],listeMarchandises[],6,FALSE)</f>
        <v>227</v>
      </c>
      <c r="F421">
        <f>SUMIF(listeEntrées[Reference],Table4[[#This Row],[reference]],listeEntrées[Quantite])</f>
        <v>7</v>
      </c>
      <c r="G421">
        <f>SUMIF(listeSorties[Reference],Table4[[#This Row],[reference]],listeSorties[Quantite])</f>
        <v>88</v>
      </c>
      <c r="H421">
        <f>Table4[[#This Row],[stock initial]]+Table4[[#This Row],[entrees]]-Table4[[#This Row],[sorties]]</f>
        <v>146</v>
      </c>
      <c r="I421">
        <f>Table4[[#This Row],[stock final]]*(VLOOKUP(Table4[[#This Row],[reference]],listeMarchandises[],7,FALSE))</f>
        <v>111573475.94</v>
      </c>
      <c r="J421" t="str">
        <f>IF(Table4[[#This Row],[valeur]]&lt;=Table4[[#This Row],[seuil d''alerte]],"stock faible","stock normal")</f>
        <v>stock normal</v>
      </c>
    </row>
    <row r="422" spans="1:10" x14ac:dyDescent="0.25">
      <c r="A422" t="s">
        <v>853</v>
      </c>
      <c r="B422" t="str">
        <f>VLOOKUP(Table4[[#This Row],[reference]],listeMarchandises[],2,FALSE)</f>
        <v>Lave-linge 107</v>
      </c>
      <c r="C422" t="str">
        <f>VLOOKUP(Table4[[#This Row],[reference]],listeMarchandises[],3,FALSE)</f>
        <v>Electromenager</v>
      </c>
      <c r="D422">
        <f>VLOOKUP(Table4[[#This Row],[reference]],listeMarchandises[],4,FALSE)</f>
        <v>3</v>
      </c>
      <c r="E422">
        <f>VLOOKUP(Table4[[#This Row],[reference]],listeMarchandises[],6,FALSE)</f>
        <v>110</v>
      </c>
      <c r="F422">
        <f>SUMIF(listeEntrées[Reference],Table4[[#This Row],[reference]],listeEntrées[Quantite])</f>
        <v>246</v>
      </c>
      <c r="G422">
        <f>SUMIF(listeSorties[Reference],Table4[[#This Row],[reference]],listeSorties[Quantite])</f>
        <v>132</v>
      </c>
      <c r="H422">
        <f>Table4[[#This Row],[stock initial]]+Table4[[#This Row],[entrees]]-Table4[[#This Row],[sorties]]</f>
        <v>224</v>
      </c>
      <c r="I422">
        <f>Table4[[#This Row],[stock final]]*(VLOOKUP(Table4[[#This Row],[reference]],listeMarchandises[],7,FALSE))</f>
        <v>76085791.040000007</v>
      </c>
      <c r="J422" t="str">
        <f>IF(Table4[[#This Row],[valeur]]&lt;=Table4[[#This Row],[seuil d''alerte]],"stock faible","stock normal")</f>
        <v>stock normal</v>
      </c>
    </row>
    <row r="423" spans="1:10" x14ac:dyDescent="0.25">
      <c r="A423" t="s">
        <v>855</v>
      </c>
      <c r="B423" t="str">
        <f>VLOOKUP(Table4[[#This Row],[reference]],listeMarchandises[],2,FALSE)</f>
        <v>Lave-linge 108</v>
      </c>
      <c r="C423" t="str">
        <f>VLOOKUP(Table4[[#This Row],[reference]],listeMarchandises[],3,FALSE)</f>
        <v>Electromenager</v>
      </c>
      <c r="D423">
        <f>VLOOKUP(Table4[[#This Row],[reference]],listeMarchandises[],4,FALSE)</f>
        <v>10</v>
      </c>
      <c r="E423">
        <f>VLOOKUP(Table4[[#This Row],[reference]],listeMarchandises[],6,FALSE)</f>
        <v>221</v>
      </c>
      <c r="F423">
        <f>SUMIF(listeEntrées[Reference],Table4[[#This Row],[reference]],listeEntrées[Quantite])</f>
        <v>204</v>
      </c>
      <c r="G423">
        <f>SUMIF(listeSorties[Reference],Table4[[#This Row],[reference]],listeSorties[Quantite])</f>
        <v>0</v>
      </c>
      <c r="H423">
        <f>Table4[[#This Row],[stock initial]]+Table4[[#This Row],[entrees]]-Table4[[#This Row],[sorties]]</f>
        <v>425</v>
      </c>
      <c r="I423">
        <f>Table4[[#This Row],[stock final]]*(VLOOKUP(Table4[[#This Row],[reference]],listeMarchandises[],7,FALSE))</f>
        <v>218332079.5</v>
      </c>
      <c r="J423" t="str">
        <f>IF(Table4[[#This Row],[valeur]]&lt;=Table4[[#This Row],[seuil d''alerte]],"stock faible","stock normal")</f>
        <v>stock normal</v>
      </c>
    </row>
    <row r="424" spans="1:10" x14ac:dyDescent="0.25">
      <c r="A424" t="s">
        <v>857</v>
      </c>
      <c r="B424" t="str">
        <f>VLOOKUP(Table4[[#This Row],[reference]],listeMarchandises[],2,FALSE)</f>
        <v>Smartphone Nova 106</v>
      </c>
      <c r="C424" t="str">
        <f>VLOOKUP(Table4[[#This Row],[reference]],listeMarchandises[],3,FALSE)</f>
        <v>Smartphone</v>
      </c>
      <c r="D424">
        <f>VLOOKUP(Table4[[#This Row],[reference]],listeMarchandises[],4,FALSE)</f>
        <v>17</v>
      </c>
      <c r="E424">
        <f>VLOOKUP(Table4[[#This Row],[reference]],listeMarchandises[],6,FALSE)</f>
        <v>355</v>
      </c>
      <c r="F424">
        <f>SUMIF(listeEntrées[Reference],Table4[[#This Row],[reference]],listeEntrées[Quantite])</f>
        <v>188</v>
      </c>
      <c r="G424">
        <f>SUMIF(listeSorties[Reference],Table4[[#This Row],[reference]],listeSorties[Quantite])</f>
        <v>53</v>
      </c>
      <c r="H424">
        <f>Table4[[#This Row],[stock initial]]+Table4[[#This Row],[entrees]]-Table4[[#This Row],[sorties]]</f>
        <v>490</v>
      </c>
      <c r="I424">
        <f>Table4[[#This Row],[stock final]]*(VLOOKUP(Table4[[#This Row],[reference]],listeMarchandises[],7,FALSE))</f>
        <v>292264013.30000001</v>
      </c>
      <c r="J424" t="str">
        <f>IF(Table4[[#This Row],[valeur]]&lt;=Table4[[#This Row],[seuil d''alerte]],"stock faible","stock normal")</f>
        <v>stock normal</v>
      </c>
    </row>
    <row r="425" spans="1:10" x14ac:dyDescent="0.25">
      <c r="A425" t="s">
        <v>859</v>
      </c>
      <c r="B425" t="str">
        <f>VLOOKUP(Table4[[#This Row],[reference]],listeMarchandises[],2,FALSE)</f>
        <v>Guitare acoustique 110</v>
      </c>
      <c r="C425" t="str">
        <f>VLOOKUP(Table4[[#This Row],[reference]],listeMarchandises[],3,FALSE)</f>
        <v>Instrument de musique</v>
      </c>
      <c r="D425">
        <f>VLOOKUP(Table4[[#This Row],[reference]],listeMarchandises[],4,FALSE)</f>
        <v>22</v>
      </c>
      <c r="E425">
        <f>VLOOKUP(Table4[[#This Row],[reference]],listeMarchandises[],6,FALSE)</f>
        <v>169</v>
      </c>
      <c r="F425">
        <f>SUMIF(listeEntrées[Reference],Table4[[#This Row],[reference]],listeEntrées[Quantite])</f>
        <v>100</v>
      </c>
      <c r="G425">
        <f>SUMIF(listeSorties[Reference],Table4[[#This Row],[reference]],listeSorties[Quantite])</f>
        <v>102</v>
      </c>
      <c r="H425">
        <f>Table4[[#This Row],[stock initial]]+Table4[[#This Row],[entrees]]-Table4[[#This Row],[sorties]]</f>
        <v>167</v>
      </c>
      <c r="I425">
        <f>Table4[[#This Row],[stock final]]*(VLOOKUP(Table4[[#This Row],[reference]],listeMarchandises[],7,FALSE))</f>
        <v>163476086.24000001</v>
      </c>
      <c r="J425" t="str">
        <f>IF(Table4[[#This Row],[valeur]]&lt;=Table4[[#This Row],[seuil d''alerte]],"stock faible","stock normal")</f>
        <v>stock normal</v>
      </c>
    </row>
    <row r="426" spans="1:10" x14ac:dyDescent="0.25">
      <c r="A426" t="s">
        <v>861</v>
      </c>
      <c r="B426" t="str">
        <f>VLOOKUP(Table4[[#This Row],[reference]],listeMarchandises[],2,FALSE)</f>
        <v>Micro-ondes 109</v>
      </c>
      <c r="C426" t="str">
        <f>VLOOKUP(Table4[[#This Row],[reference]],listeMarchandises[],3,FALSE)</f>
        <v>Electromenager</v>
      </c>
      <c r="D426">
        <f>VLOOKUP(Table4[[#This Row],[reference]],listeMarchandises[],4,FALSE)</f>
        <v>7</v>
      </c>
      <c r="E426">
        <f>VLOOKUP(Table4[[#This Row],[reference]],listeMarchandises[],6,FALSE)</f>
        <v>234</v>
      </c>
      <c r="F426">
        <f>SUMIF(listeEntrées[Reference],Table4[[#This Row],[reference]],listeEntrées[Quantite])</f>
        <v>110</v>
      </c>
      <c r="G426">
        <f>SUMIF(listeSorties[Reference],Table4[[#This Row],[reference]],listeSorties[Quantite])</f>
        <v>144</v>
      </c>
      <c r="H426">
        <f>Table4[[#This Row],[stock initial]]+Table4[[#This Row],[entrees]]-Table4[[#This Row],[sorties]]</f>
        <v>200</v>
      </c>
      <c r="I426">
        <f>Table4[[#This Row],[stock final]]*(VLOOKUP(Table4[[#This Row],[reference]],listeMarchandises[],7,FALSE))</f>
        <v>46263216</v>
      </c>
      <c r="J426" t="str">
        <f>IF(Table4[[#This Row],[valeur]]&lt;=Table4[[#This Row],[seuil d''alerte]],"stock faible","stock normal")</f>
        <v>stock normal</v>
      </c>
    </row>
    <row r="427" spans="1:10" x14ac:dyDescent="0.25">
      <c r="A427" t="s">
        <v>863</v>
      </c>
      <c r="B427" t="str">
        <f>VLOOKUP(Table4[[#This Row],[reference]],listeMarchandises[],2,FALSE)</f>
        <v>Refrigerateur 110</v>
      </c>
      <c r="C427" t="str">
        <f>VLOOKUP(Table4[[#This Row],[reference]],listeMarchandises[],3,FALSE)</f>
        <v>Electromenager</v>
      </c>
      <c r="D427">
        <f>VLOOKUP(Table4[[#This Row],[reference]],listeMarchandises[],4,FALSE)</f>
        <v>19</v>
      </c>
      <c r="E427">
        <f>VLOOKUP(Table4[[#This Row],[reference]],listeMarchandises[],6,FALSE)</f>
        <v>129</v>
      </c>
      <c r="F427">
        <f>SUMIF(listeEntrées[Reference],Table4[[#This Row],[reference]],listeEntrées[Quantite])</f>
        <v>0</v>
      </c>
      <c r="G427">
        <f>SUMIF(listeSorties[Reference],Table4[[#This Row],[reference]],listeSorties[Quantite])</f>
        <v>299</v>
      </c>
      <c r="H427">
        <f>Table4[[#This Row],[stock initial]]+Table4[[#This Row],[entrees]]-Table4[[#This Row],[sorties]]</f>
        <v>-170</v>
      </c>
      <c r="I427">
        <f>Table4[[#This Row],[stock final]]*(VLOOKUP(Table4[[#This Row],[reference]],listeMarchandises[],7,FALSE))</f>
        <v>-72825006.299999997</v>
      </c>
      <c r="J427" t="str">
        <f>IF(Table4[[#This Row],[valeur]]&lt;=Table4[[#This Row],[seuil d''alerte]],"stock faible","stock normal")</f>
        <v>stock faible</v>
      </c>
    </row>
    <row r="428" spans="1:10" x14ac:dyDescent="0.25">
      <c r="A428" t="s">
        <v>865</v>
      </c>
      <c r="B428" t="str">
        <f>VLOOKUP(Table4[[#This Row],[reference]],listeMarchandises[],2,FALSE)</f>
        <v>Climatiseur 111</v>
      </c>
      <c r="C428" t="str">
        <f>VLOOKUP(Table4[[#This Row],[reference]],listeMarchandises[],3,FALSE)</f>
        <v>Electromenager</v>
      </c>
      <c r="D428">
        <f>VLOOKUP(Table4[[#This Row],[reference]],listeMarchandises[],4,FALSE)</f>
        <v>22</v>
      </c>
      <c r="E428">
        <f>VLOOKUP(Table4[[#This Row],[reference]],listeMarchandises[],6,FALSE)</f>
        <v>332</v>
      </c>
      <c r="F428">
        <f>SUMIF(listeEntrées[Reference],Table4[[#This Row],[reference]],listeEntrées[Quantite])</f>
        <v>242</v>
      </c>
      <c r="G428">
        <f>SUMIF(listeSorties[Reference],Table4[[#This Row],[reference]],listeSorties[Quantite])</f>
        <v>5</v>
      </c>
      <c r="H428">
        <f>Table4[[#This Row],[stock initial]]+Table4[[#This Row],[entrees]]-Table4[[#This Row],[sorties]]</f>
        <v>569</v>
      </c>
      <c r="I428">
        <f>Table4[[#This Row],[stock final]]*(VLOOKUP(Table4[[#This Row],[reference]],listeMarchandises[],7,FALSE))</f>
        <v>676319886.5999999</v>
      </c>
      <c r="J428" t="str">
        <f>IF(Table4[[#This Row],[valeur]]&lt;=Table4[[#This Row],[seuil d''alerte]],"stock faible","stock normal")</f>
        <v>stock normal</v>
      </c>
    </row>
    <row r="429" spans="1:10" x14ac:dyDescent="0.25">
      <c r="A429" t="s">
        <v>867</v>
      </c>
      <c r="B429" t="str">
        <f>VLOOKUP(Table4[[#This Row],[reference]],listeMarchandises[],2,FALSE)</f>
        <v>Smartphone Nova 107</v>
      </c>
      <c r="C429" t="str">
        <f>VLOOKUP(Table4[[#This Row],[reference]],listeMarchandises[],3,FALSE)</f>
        <v>Smartphone</v>
      </c>
      <c r="D429">
        <f>VLOOKUP(Table4[[#This Row],[reference]],listeMarchandises[],4,FALSE)</f>
        <v>10</v>
      </c>
      <c r="E429">
        <f>VLOOKUP(Table4[[#This Row],[reference]],listeMarchandises[],6,FALSE)</f>
        <v>134</v>
      </c>
      <c r="F429">
        <f>SUMIF(listeEntrées[Reference],Table4[[#This Row],[reference]],listeEntrées[Quantite])</f>
        <v>191</v>
      </c>
      <c r="G429">
        <f>SUMIF(listeSorties[Reference],Table4[[#This Row],[reference]],listeSorties[Quantite])</f>
        <v>152</v>
      </c>
      <c r="H429">
        <f>Table4[[#This Row],[stock initial]]+Table4[[#This Row],[entrees]]-Table4[[#This Row],[sorties]]</f>
        <v>173</v>
      </c>
      <c r="I429">
        <f>Table4[[#This Row],[stock final]]*(VLOOKUP(Table4[[#This Row],[reference]],listeMarchandises[],7,FALSE))</f>
        <v>222808068.42999998</v>
      </c>
      <c r="J429" t="str">
        <f>IF(Table4[[#This Row],[valeur]]&lt;=Table4[[#This Row],[seuil d''alerte]],"stock faible","stock normal")</f>
        <v>stock normal</v>
      </c>
    </row>
    <row r="430" spans="1:10" x14ac:dyDescent="0.25">
      <c r="A430" t="s">
        <v>869</v>
      </c>
      <c r="B430" t="str">
        <f>VLOOKUP(Table4[[#This Row],[reference]],listeMarchandises[],2,FALSE)</f>
        <v>Clavier arrangeur 111</v>
      </c>
      <c r="C430" t="str">
        <f>VLOOKUP(Table4[[#This Row],[reference]],listeMarchandises[],3,FALSE)</f>
        <v>Instrument de musique</v>
      </c>
      <c r="D430">
        <f>VLOOKUP(Table4[[#This Row],[reference]],listeMarchandises[],4,FALSE)</f>
        <v>9</v>
      </c>
      <c r="E430">
        <f>VLOOKUP(Table4[[#This Row],[reference]],listeMarchandises[],6,FALSE)</f>
        <v>223</v>
      </c>
      <c r="F430">
        <f>SUMIF(listeEntrées[Reference],Table4[[#This Row],[reference]],listeEntrées[Quantite])</f>
        <v>38</v>
      </c>
      <c r="G430">
        <f>SUMIF(listeSorties[Reference],Table4[[#This Row],[reference]],listeSorties[Quantite])</f>
        <v>113</v>
      </c>
      <c r="H430">
        <f>Table4[[#This Row],[stock initial]]+Table4[[#This Row],[entrees]]-Table4[[#This Row],[sorties]]</f>
        <v>148</v>
      </c>
      <c r="I430">
        <f>Table4[[#This Row],[stock final]]*(VLOOKUP(Table4[[#This Row],[reference]],listeMarchandises[],7,FALSE))</f>
        <v>152198992.35999998</v>
      </c>
      <c r="J430" t="str">
        <f>IF(Table4[[#This Row],[valeur]]&lt;=Table4[[#This Row],[seuil d''alerte]],"stock faible","stock normal")</f>
        <v>stock normal</v>
      </c>
    </row>
    <row r="431" spans="1:10" x14ac:dyDescent="0.25">
      <c r="A431" t="s">
        <v>871</v>
      </c>
      <c r="B431" t="str">
        <f>VLOOKUP(Table4[[#This Row],[reference]],listeMarchandises[],2,FALSE)</f>
        <v>Mixeur 112</v>
      </c>
      <c r="C431" t="str">
        <f>VLOOKUP(Table4[[#This Row],[reference]],listeMarchandises[],3,FALSE)</f>
        <v>Electromenager</v>
      </c>
      <c r="D431">
        <f>VLOOKUP(Table4[[#This Row],[reference]],listeMarchandises[],4,FALSE)</f>
        <v>18</v>
      </c>
      <c r="E431">
        <f>VLOOKUP(Table4[[#This Row],[reference]],listeMarchandises[],6,FALSE)</f>
        <v>124</v>
      </c>
      <c r="F431">
        <f>SUMIF(listeEntrées[Reference],Table4[[#This Row],[reference]],listeEntrées[Quantite])</f>
        <v>169</v>
      </c>
      <c r="G431">
        <f>SUMIF(listeSorties[Reference],Table4[[#This Row],[reference]],listeSorties[Quantite])</f>
        <v>0</v>
      </c>
      <c r="H431">
        <f>Table4[[#This Row],[stock initial]]+Table4[[#This Row],[entrees]]-Table4[[#This Row],[sorties]]</f>
        <v>293</v>
      </c>
      <c r="I431">
        <f>Table4[[#This Row],[stock final]]*(VLOOKUP(Table4[[#This Row],[reference]],listeMarchandises[],7,FALSE))</f>
        <v>115194740.22999999</v>
      </c>
      <c r="J431" t="str">
        <f>IF(Table4[[#This Row],[valeur]]&lt;=Table4[[#This Row],[seuil d''alerte]],"stock faible","stock normal")</f>
        <v>stock normal</v>
      </c>
    </row>
    <row r="432" spans="1:10" x14ac:dyDescent="0.25">
      <c r="A432" t="s">
        <v>873</v>
      </c>
      <c r="B432" t="str">
        <f>VLOOKUP(Table4[[#This Row],[reference]],listeMarchandises[],2,FALSE)</f>
        <v>Clavier arrangeur 112</v>
      </c>
      <c r="C432" t="str">
        <f>VLOOKUP(Table4[[#This Row],[reference]],listeMarchandises[],3,FALSE)</f>
        <v>Instrument de musique</v>
      </c>
      <c r="D432">
        <f>VLOOKUP(Table4[[#This Row],[reference]],listeMarchandises[],4,FALSE)</f>
        <v>19</v>
      </c>
      <c r="E432">
        <f>VLOOKUP(Table4[[#This Row],[reference]],listeMarchandises[],6,FALSE)</f>
        <v>245</v>
      </c>
      <c r="F432">
        <f>SUMIF(listeEntrées[Reference],Table4[[#This Row],[reference]],listeEntrées[Quantite])</f>
        <v>0</v>
      </c>
      <c r="G432">
        <f>SUMIF(listeSorties[Reference],Table4[[#This Row],[reference]],listeSorties[Quantite])</f>
        <v>0</v>
      </c>
      <c r="H432">
        <f>Table4[[#This Row],[stock initial]]+Table4[[#This Row],[entrees]]-Table4[[#This Row],[sorties]]</f>
        <v>245</v>
      </c>
      <c r="I432">
        <f>Table4[[#This Row],[stock final]]*(VLOOKUP(Table4[[#This Row],[reference]],listeMarchandises[],7,FALSE))</f>
        <v>67840698.450000003</v>
      </c>
      <c r="J432" t="str">
        <f>IF(Table4[[#This Row],[valeur]]&lt;=Table4[[#This Row],[seuil d''alerte]],"stock faible","stock normal")</f>
        <v>stock normal</v>
      </c>
    </row>
    <row r="433" spans="1:10" x14ac:dyDescent="0.25">
      <c r="A433" t="s">
        <v>875</v>
      </c>
      <c r="B433" t="str">
        <f>VLOOKUP(Table4[[#This Row],[reference]],listeMarchandises[],2,FALSE)</f>
        <v>Saxophone alto 113</v>
      </c>
      <c r="C433" t="str">
        <f>VLOOKUP(Table4[[#This Row],[reference]],listeMarchandises[],3,FALSE)</f>
        <v>Instrument de musique</v>
      </c>
      <c r="D433">
        <f>VLOOKUP(Table4[[#This Row],[reference]],listeMarchandises[],4,FALSE)</f>
        <v>12</v>
      </c>
      <c r="E433">
        <f>VLOOKUP(Table4[[#This Row],[reference]],listeMarchandises[],6,FALSE)</f>
        <v>219</v>
      </c>
      <c r="F433">
        <f>SUMIF(listeEntrées[Reference],Table4[[#This Row],[reference]],listeEntrées[Quantite])</f>
        <v>184</v>
      </c>
      <c r="G433">
        <f>SUMIF(listeSorties[Reference],Table4[[#This Row],[reference]],listeSorties[Quantite])</f>
        <v>298</v>
      </c>
      <c r="H433">
        <f>Table4[[#This Row],[stock initial]]+Table4[[#This Row],[entrees]]-Table4[[#This Row],[sorties]]</f>
        <v>105</v>
      </c>
      <c r="I433">
        <f>Table4[[#This Row],[stock final]]*(VLOOKUP(Table4[[#This Row],[reference]],listeMarchandises[],7,FALSE))</f>
        <v>87912298.950000003</v>
      </c>
      <c r="J433" t="str">
        <f>IF(Table4[[#This Row],[valeur]]&lt;=Table4[[#This Row],[seuil d''alerte]],"stock faible","stock normal")</f>
        <v>stock normal</v>
      </c>
    </row>
    <row r="434" spans="1:10" x14ac:dyDescent="0.25">
      <c r="A434" t="s">
        <v>877</v>
      </c>
      <c r="B434" t="str">
        <f>VLOOKUP(Table4[[#This Row],[reference]],listeMarchandises[],2,FALSE)</f>
        <v>Lave-linge 113</v>
      </c>
      <c r="C434" t="str">
        <f>VLOOKUP(Table4[[#This Row],[reference]],listeMarchandises[],3,FALSE)</f>
        <v>Electromenager</v>
      </c>
      <c r="D434">
        <f>VLOOKUP(Table4[[#This Row],[reference]],listeMarchandises[],4,FALSE)</f>
        <v>6</v>
      </c>
      <c r="E434">
        <f>VLOOKUP(Table4[[#This Row],[reference]],listeMarchandises[],6,FALSE)</f>
        <v>37</v>
      </c>
      <c r="F434">
        <f>SUMIF(listeEntrées[Reference],Table4[[#This Row],[reference]],listeEntrées[Quantite])</f>
        <v>12</v>
      </c>
      <c r="G434">
        <f>SUMIF(listeSorties[Reference],Table4[[#This Row],[reference]],listeSorties[Quantite])</f>
        <v>29</v>
      </c>
      <c r="H434">
        <f>Table4[[#This Row],[stock initial]]+Table4[[#This Row],[entrees]]-Table4[[#This Row],[sorties]]</f>
        <v>20</v>
      </c>
      <c r="I434">
        <f>Table4[[#This Row],[stock final]]*(VLOOKUP(Table4[[#This Row],[reference]],listeMarchandises[],7,FALSE))</f>
        <v>16529586.799999999</v>
      </c>
      <c r="J434" t="str">
        <f>IF(Table4[[#This Row],[valeur]]&lt;=Table4[[#This Row],[seuil d''alerte]],"stock faible","stock normal")</f>
        <v>stock normal</v>
      </c>
    </row>
    <row r="435" spans="1:10" x14ac:dyDescent="0.25">
      <c r="A435" t="s">
        <v>879</v>
      </c>
      <c r="B435" t="str">
        <f>VLOOKUP(Table4[[#This Row],[reference]],listeMarchandises[],2,FALSE)</f>
        <v>Smartphone Lite 108</v>
      </c>
      <c r="C435" t="str">
        <f>VLOOKUP(Table4[[#This Row],[reference]],listeMarchandises[],3,FALSE)</f>
        <v>Smartphone</v>
      </c>
      <c r="D435">
        <f>VLOOKUP(Table4[[#This Row],[reference]],listeMarchandises[],4,FALSE)</f>
        <v>21</v>
      </c>
      <c r="E435">
        <f>VLOOKUP(Table4[[#This Row],[reference]],listeMarchandises[],6,FALSE)</f>
        <v>269</v>
      </c>
      <c r="F435">
        <f>SUMIF(listeEntrées[Reference],Table4[[#This Row],[reference]],listeEntrées[Quantite])</f>
        <v>0</v>
      </c>
      <c r="G435">
        <f>SUMIF(listeSorties[Reference],Table4[[#This Row],[reference]],listeSorties[Quantite])</f>
        <v>174</v>
      </c>
      <c r="H435">
        <f>Table4[[#This Row],[stock initial]]+Table4[[#This Row],[entrees]]-Table4[[#This Row],[sorties]]</f>
        <v>95</v>
      </c>
      <c r="I435">
        <f>Table4[[#This Row],[stock final]]*(VLOOKUP(Table4[[#This Row],[reference]],listeMarchandises[],7,FALSE))</f>
        <v>146276806.70000002</v>
      </c>
      <c r="J435" t="str">
        <f>IF(Table4[[#This Row],[valeur]]&lt;=Table4[[#This Row],[seuil d''alerte]],"stock faible","stock normal")</f>
        <v>stock normal</v>
      </c>
    </row>
    <row r="436" spans="1:10" x14ac:dyDescent="0.25">
      <c r="A436" t="s">
        <v>881</v>
      </c>
      <c r="B436" t="str">
        <f>VLOOKUP(Table4[[#This Row],[reference]],listeMarchandises[],2,FALSE)</f>
        <v>Batterie electronique 114</v>
      </c>
      <c r="C436" t="str">
        <f>VLOOKUP(Table4[[#This Row],[reference]],listeMarchandises[],3,FALSE)</f>
        <v>Instrument de musique</v>
      </c>
      <c r="D436">
        <f>VLOOKUP(Table4[[#This Row],[reference]],listeMarchandises[],4,FALSE)</f>
        <v>10</v>
      </c>
      <c r="E436">
        <f>VLOOKUP(Table4[[#This Row],[reference]],listeMarchandises[],6,FALSE)</f>
        <v>251</v>
      </c>
      <c r="F436">
        <f>SUMIF(listeEntrées[Reference],Table4[[#This Row],[reference]],listeEntrées[Quantite])</f>
        <v>0</v>
      </c>
      <c r="G436">
        <f>SUMIF(listeSorties[Reference],Table4[[#This Row],[reference]],listeSorties[Quantite])</f>
        <v>4</v>
      </c>
      <c r="H436">
        <f>Table4[[#This Row],[stock initial]]+Table4[[#This Row],[entrees]]-Table4[[#This Row],[sorties]]</f>
        <v>247</v>
      </c>
      <c r="I436">
        <f>Table4[[#This Row],[stock final]]*(VLOOKUP(Table4[[#This Row],[reference]],listeMarchandises[],7,FALSE))</f>
        <v>242673874.03999999</v>
      </c>
      <c r="J436" t="str">
        <f>IF(Table4[[#This Row],[valeur]]&lt;=Table4[[#This Row],[seuil d''alerte]],"stock faible","stock normal")</f>
        <v>stock normal</v>
      </c>
    </row>
    <row r="437" spans="1:10" x14ac:dyDescent="0.25">
      <c r="A437" t="s">
        <v>883</v>
      </c>
      <c r="B437" t="str">
        <f>VLOOKUP(Table4[[#This Row],[reference]],listeMarchandises[],2,FALSE)</f>
        <v>Lave-linge 114</v>
      </c>
      <c r="C437" t="str">
        <f>VLOOKUP(Table4[[#This Row],[reference]],listeMarchandises[],3,FALSE)</f>
        <v>Electromenager</v>
      </c>
      <c r="D437">
        <f>VLOOKUP(Table4[[#This Row],[reference]],listeMarchandises[],4,FALSE)</f>
        <v>18</v>
      </c>
      <c r="E437">
        <f>VLOOKUP(Table4[[#This Row],[reference]],listeMarchandises[],6,FALSE)</f>
        <v>358</v>
      </c>
      <c r="F437">
        <f>SUMIF(listeEntrées[Reference],Table4[[#This Row],[reference]],listeEntrées[Quantite])</f>
        <v>237</v>
      </c>
      <c r="G437">
        <f>SUMIF(listeSorties[Reference],Table4[[#This Row],[reference]],listeSorties[Quantite])</f>
        <v>0</v>
      </c>
      <c r="H437">
        <f>Table4[[#This Row],[stock initial]]+Table4[[#This Row],[entrees]]-Table4[[#This Row],[sorties]]</f>
        <v>595</v>
      </c>
      <c r="I437">
        <f>Table4[[#This Row],[stock final]]*(VLOOKUP(Table4[[#This Row],[reference]],listeMarchandises[],7,FALSE))</f>
        <v>480562763.44999999</v>
      </c>
      <c r="J437" t="str">
        <f>IF(Table4[[#This Row],[valeur]]&lt;=Table4[[#This Row],[seuil d''alerte]],"stock faible","stock normal")</f>
        <v>stock normal</v>
      </c>
    </row>
    <row r="438" spans="1:10" x14ac:dyDescent="0.25">
      <c r="A438" t="s">
        <v>885</v>
      </c>
      <c r="B438" t="str">
        <f>VLOOKUP(Table4[[#This Row],[reference]],listeMarchandises[],2,FALSE)</f>
        <v>Smartphone Ultra 109</v>
      </c>
      <c r="C438" t="str">
        <f>VLOOKUP(Table4[[#This Row],[reference]],listeMarchandises[],3,FALSE)</f>
        <v>Smartphone</v>
      </c>
      <c r="D438">
        <f>VLOOKUP(Table4[[#This Row],[reference]],listeMarchandises[],4,FALSE)</f>
        <v>11</v>
      </c>
      <c r="E438">
        <f>VLOOKUP(Table4[[#This Row],[reference]],listeMarchandises[],6,FALSE)</f>
        <v>120</v>
      </c>
      <c r="F438">
        <f>SUMIF(listeEntrées[Reference],Table4[[#This Row],[reference]],listeEntrées[Quantite])</f>
        <v>283</v>
      </c>
      <c r="G438">
        <f>SUMIF(listeSorties[Reference],Table4[[#This Row],[reference]],listeSorties[Quantite])</f>
        <v>139</v>
      </c>
      <c r="H438">
        <f>Table4[[#This Row],[stock initial]]+Table4[[#This Row],[entrees]]-Table4[[#This Row],[sorties]]</f>
        <v>264</v>
      </c>
      <c r="I438">
        <f>Table4[[#This Row],[stock final]]*(VLOOKUP(Table4[[#This Row],[reference]],listeMarchandises[],7,FALSE))</f>
        <v>373342754.40000004</v>
      </c>
      <c r="J438" t="str">
        <f>IF(Table4[[#This Row],[valeur]]&lt;=Table4[[#This Row],[seuil d''alerte]],"stock faible","stock normal")</f>
        <v>stock normal</v>
      </c>
    </row>
    <row r="439" spans="1:10" x14ac:dyDescent="0.25">
      <c r="A439" t="s">
        <v>887</v>
      </c>
      <c r="B439" t="str">
        <f>VLOOKUP(Table4[[#This Row],[reference]],listeMarchandises[],2,FALSE)</f>
        <v>Clavier arrangeur 115</v>
      </c>
      <c r="C439" t="str">
        <f>VLOOKUP(Table4[[#This Row],[reference]],listeMarchandises[],3,FALSE)</f>
        <v>Instrument de musique</v>
      </c>
      <c r="D439">
        <f>VLOOKUP(Table4[[#This Row],[reference]],listeMarchandises[],4,FALSE)</f>
        <v>23</v>
      </c>
      <c r="E439">
        <f>VLOOKUP(Table4[[#This Row],[reference]],listeMarchandises[],6,FALSE)</f>
        <v>293</v>
      </c>
      <c r="F439">
        <f>SUMIF(listeEntrées[Reference],Table4[[#This Row],[reference]],listeEntrées[Quantite])</f>
        <v>218</v>
      </c>
      <c r="G439">
        <f>SUMIF(listeSorties[Reference],Table4[[#This Row],[reference]],listeSorties[Quantite])</f>
        <v>109</v>
      </c>
      <c r="H439">
        <f>Table4[[#This Row],[stock initial]]+Table4[[#This Row],[entrees]]-Table4[[#This Row],[sorties]]</f>
        <v>402</v>
      </c>
      <c r="I439">
        <f>Table4[[#This Row],[stock final]]*(VLOOKUP(Table4[[#This Row],[reference]],listeMarchandises[],7,FALSE))</f>
        <v>160302408.42000002</v>
      </c>
      <c r="J439" t="str">
        <f>IF(Table4[[#This Row],[valeur]]&lt;=Table4[[#This Row],[seuil d''alerte]],"stock faible","stock normal")</f>
        <v>stock normal</v>
      </c>
    </row>
    <row r="440" spans="1:10" x14ac:dyDescent="0.25">
      <c r="A440" t="s">
        <v>889</v>
      </c>
      <c r="B440" t="str">
        <f>VLOOKUP(Table4[[#This Row],[reference]],listeMarchandises[],2,FALSE)</f>
        <v>Aspirateur 115</v>
      </c>
      <c r="C440" t="str">
        <f>VLOOKUP(Table4[[#This Row],[reference]],listeMarchandises[],3,FALSE)</f>
        <v>Electromenager</v>
      </c>
      <c r="D440">
        <f>VLOOKUP(Table4[[#This Row],[reference]],listeMarchandises[],4,FALSE)</f>
        <v>22</v>
      </c>
      <c r="E440">
        <f>VLOOKUP(Table4[[#This Row],[reference]],listeMarchandises[],6,FALSE)</f>
        <v>235</v>
      </c>
      <c r="F440">
        <f>SUMIF(listeEntrées[Reference],Table4[[#This Row],[reference]],listeEntrées[Quantite])</f>
        <v>0</v>
      </c>
      <c r="G440">
        <f>SUMIF(listeSorties[Reference],Table4[[#This Row],[reference]],listeSorties[Quantite])</f>
        <v>21</v>
      </c>
      <c r="H440">
        <f>Table4[[#This Row],[stock initial]]+Table4[[#This Row],[entrees]]-Table4[[#This Row],[sorties]]</f>
        <v>214</v>
      </c>
      <c r="I440">
        <f>Table4[[#This Row],[stock final]]*(VLOOKUP(Table4[[#This Row],[reference]],listeMarchandises[],7,FALSE))</f>
        <v>232591312.06</v>
      </c>
      <c r="J440" t="str">
        <f>IF(Table4[[#This Row],[valeur]]&lt;=Table4[[#This Row],[seuil d''alerte]],"stock faible","stock normal")</f>
        <v>stock normal</v>
      </c>
    </row>
    <row r="441" spans="1:10" x14ac:dyDescent="0.25">
      <c r="A441" t="s">
        <v>891</v>
      </c>
      <c r="B441" t="str">
        <f>VLOOKUP(Table4[[#This Row],[reference]],listeMarchandises[],2,FALSE)</f>
        <v>Groupe 5kVA 101</v>
      </c>
      <c r="C441" t="str">
        <f>VLOOKUP(Table4[[#This Row],[reference]],listeMarchandises[],3,FALSE)</f>
        <v>Groupe electrogene</v>
      </c>
      <c r="D441">
        <f>VLOOKUP(Table4[[#This Row],[reference]],listeMarchandises[],4,FALSE)</f>
        <v>16</v>
      </c>
      <c r="E441">
        <f>VLOOKUP(Table4[[#This Row],[reference]],listeMarchandises[],6,FALSE)</f>
        <v>111</v>
      </c>
      <c r="F441">
        <f>SUMIF(listeEntrées[Reference],Table4[[#This Row],[reference]],listeEntrées[Quantite])</f>
        <v>96</v>
      </c>
      <c r="G441">
        <f>SUMIF(listeSorties[Reference],Table4[[#This Row],[reference]],listeSorties[Quantite])</f>
        <v>63</v>
      </c>
      <c r="H441">
        <f>Table4[[#This Row],[stock initial]]+Table4[[#This Row],[entrees]]-Table4[[#This Row],[sorties]]</f>
        <v>144</v>
      </c>
      <c r="I441">
        <f>Table4[[#This Row],[stock final]]*(VLOOKUP(Table4[[#This Row],[reference]],listeMarchandises[],7,FALSE))</f>
        <v>322819058.88</v>
      </c>
      <c r="J441" t="str">
        <f>IF(Table4[[#This Row],[valeur]]&lt;=Table4[[#This Row],[seuil d''alerte]],"stock faible","stock normal")</f>
        <v>stock normal</v>
      </c>
    </row>
    <row r="442" spans="1:10" x14ac:dyDescent="0.25">
      <c r="A442" t="s">
        <v>893</v>
      </c>
      <c r="B442" t="str">
        <f>VLOOKUP(Table4[[#This Row],[reference]],listeMarchandises[],2,FALSE)</f>
        <v>Clavier arrangeur 116</v>
      </c>
      <c r="C442" t="str">
        <f>VLOOKUP(Table4[[#This Row],[reference]],listeMarchandises[],3,FALSE)</f>
        <v>Instrument de musique</v>
      </c>
      <c r="D442">
        <f>VLOOKUP(Table4[[#This Row],[reference]],listeMarchandises[],4,FALSE)</f>
        <v>16</v>
      </c>
      <c r="E442">
        <f>VLOOKUP(Table4[[#This Row],[reference]],listeMarchandises[],6,FALSE)</f>
        <v>330</v>
      </c>
      <c r="F442">
        <f>SUMIF(listeEntrées[Reference],Table4[[#This Row],[reference]],listeEntrées[Quantite])</f>
        <v>53</v>
      </c>
      <c r="G442">
        <f>SUMIF(listeSorties[Reference],Table4[[#This Row],[reference]],listeSorties[Quantite])</f>
        <v>84</v>
      </c>
      <c r="H442">
        <f>Table4[[#This Row],[stock initial]]+Table4[[#This Row],[entrees]]-Table4[[#This Row],[sorties]]</f>
        <v>299</v>
      </c>
      <c r="I442">
        <f>Table4[[#This Row],[stock final]]*(VLOOKUP(Table4[[#This Row],[reference]],listeMarchandises[],7,FALSE))</f>
        <v>94264767.220000014</v>
      </c>
      <c r="J442" t="str">
        <f>IF(Table4[[#This Row],[valeur]]&lt;=Table4[[#This Row],[seuil d''alerte]],"stock faible","stock normal")</f>
        <v>stock normal</v>
      </c>
    </row>
    <row r="443" spans="1:10" x14ac:dyDescent="0.25">
      <c r="A443" t="s">
        <v>895</v>
      </c>
      <c r="B443" t="str">
        <f>VLOOKUP(Table4[[#This Row],[reference]],listeMarchandises[],2,FALSE)</f>
        <v>Groupe 5kVA 102</v>
      </c>
      <c r="C443" t="str">
        <f>VLOOKUP(Table4[[#This Row],[reference]],listeMarchandises[],3,FALSE)</f>
        <v>Groupe electrogene</v>
      </c>
      <c r="D443">
        <f>VLOOKUP(Table4[[#This Row],[reference]],listeMarchandises[],4,FALSE)</f>
        <v>17</v>
      </c>
      <c r="E443">
        <f>VLOOKUP(Table4[[#This Row],[reference]],listeMarchandises[],6,FALSE)</f>
        <v>61</v>
      </c>
      <c r="F443">
        <f>SUMIF(listeEntrées[Reference],Table4[[#This Row],[reference]],listeEntrées[Quantite])</f>
        <v>108</v>
      </c>
      <c r="G443">
        <f>SUMIF(listeSorties[Reference],Table4[[#This Row],[reference]],listeSorties[Quantite])</f>
        <v>31</v>
      </c>
      <c r="H443">
        <f>Table4[[#This Row],[stock initial]]+Table4[[#This Row],[entrees]]-Table4[[#This Row],[sorties]]</f>
        <v>138</v>
      </c>
      <c r="I443">
        <f>Table4[[#This Row],[stock final]]*(VLOOKUP(Table4[[#This Row],[reference]],listeMarchandises[],7,FALSE))</f>
        <v>345227751.06</v>
      </c>
      <c r="J443" t="str">
        <f>IF(Table4[[#This Row],[valeur]]&lt;=Table4[[#This Row],[seuil d''alerte]],"stock faible","stock normal")</f>
        <v>stock normal</v>
      </c>
    </row>
    <row r="444" spans="1:10" x14ac:dyDescent="0.25">
      <c r="A444" t="s">
        <v>897</v>
      </c>
      <c r="B444" t="str">
        <f>VLOOKUP(Table4[[#This Row],[reference]],listeMarchandises[],2,FALSE)</f>
        <v>Clavier arrangeur 117</v>
      </c>
      <c r="C444" t="str">
        <f>VLOOKUP(Table4[[#This Row],[reference]],listeMarchandises[],3,FALSE)</f>
        <v>Instrument de musique</v>
      </c>
      <c r="D444">
        <f>VLOOKUP(Table4[[#This Row],[reference]],listeMarchandises[],4,FALSE)</f>
        <v>6</v>
      </c>
      <c r="E444">
        <f>VLOOKUP(Table4[[#This Row],[reference]],listeMarchandises[],6,FALSE)</f>
        <v>326</v>
      </c>
      <c r="F444">
        <f>SUMIF(listeEntrées[Reference],Table4[[#This Row],[reference]],listeEntrées[Quantite])</f>
        <v>144</v>
      </c>
      <c r="G444">
        <f>SUMIF(listeSorties[Reference],Table4[[#This Row],[reference]],listeSorties[Quantite])</f>
        <v>133</v>
      </c>
      <c r="H444">
        <f>Table4[[#This Row],[stock initial]]+Table4[[#This Row],[entrees]]-Table4[[#This Row],[sorties]]</f>
        <v>337</v>
      </c>
      <c r="I444">
        <f>Table4[[#This Row],[stock final]]*(VLOOKUP(Table4[[#This Row],[reference]],listeMarchandises[],7,FALSE))</f>
        <v>386243397.08000004</v>
      </c>
      <c r="J444" t="str">
        <f>IF(Table4[[#This Row],[valeur]]&lt;=Table4[[#This Row],[seuil d''alerte]],"stock faible","stock normal")</f>
        <v>stock normal</v>
      </c>
    </row>
    <row r="445" spans="1:10" x14ac:dyDescent="0.25">
      <c r="A445" t="s">
        <v>899</v>
      </c>
      <c r="B445" t="str">
        <f>VLOOKUP(Table4[[#This Row],[reference]],listeMarchandises[],2,FALSE)</f>
        <v>Fer a repasser 116</v>
      </c>
      <c r="C445" t="str">
        <f>VLOOKUP(Table4[[#This Row],[reference]],listeMarchandises[],3,FALSE)</f>
        <v>Electromenager</v>
      </c>
      <c r="D445">
        <f>VLOOKUP(Table4[[#This Row],[reference]],listeMarchandises[],4,FALSE)</f>
        <v>24</v>
      </c>
      <c r="E445">
        <f>VLOOKUP(Table4[[#This Row],[reference]],listeMarchandises[],6,FALSE)</f>
        <v>254</v>
      </c>
      <c r="F445">
        <f>SUMIF(listeEntrées[Reference],Table4[[#This Row],[reference]],listeEntrées[Quantite])</f>
        <v>69</v>
      </c>
      <c r="G445">
        <f>SUMIF(listeSorties[Reference],Table4[[#This Row],[reference]],listeSorties[Quantite])</f>
        <v>36</v>
      </c>
      <c r="H445">
        <f>Table4[[#This Row],[stock initial]]+Table4[[#This Row],[entrees]]-Table4[[#This Row],[sorties]]</f>
        <v>287</v>
      </c>
      <c r="I445">
        <f>Table4[[#This Row],[stock final]]*(VLOOKUP(Table4[[#This Row],[reference]],listeMarchandises[],7,FALSE))</f>
        <v>94292945.949999988</v>
      </c>
      <c r="J445" t="str">
        <f>IF(Table4[[#This Row],[valeur]]&lt;=Table4[[#This Row],[seuil d''alerte]],"stock faible","stock normal")</f>
        <v>stock normal</v>
      </c>
    </row>
    <row r="446" spans="1:10" x14ac:dyDescent="0.25">
      <c r="A446" t="s">
        <v>901</v>
      </c>
      <c r="B446" t="str">
        <f>VLOOKUP(Table4[[#This Row],[reference]],listeMarchandises[],2,FALSE)</f>
        <v>Aspirateur 117</v>
      </c>
      <c r="C446" t="str">
        <f>VLOOKUP(Table4[[#This Row],[reference]],listeMarchandises[],3,FALSE)</f>
        <v>Electromenager</v>
      </c>
      <c r="D446">
        <f>VLOOKUP(Table4[[#This Row],[reference]],listeMarchandises[],4,FALSE)</f>
        <v>23</v>
      </c>
      <c r="E446">
        <f>VLOOKUP(Table4[[#This Row],[reference]],listeMarchandises[],6,FALSE)</f>
        <v>279</v>
      </c>
      <c r="F446">
        <f>SUMIF(listeEntrées[Reference],Table4[[#This Row],[reference]],listeEntrées[Quantite])</f>
        <v>0</v>
      </c>
      <c r="G446">
        <f>SUMIF(listeSorties[Reference],Table4[[#This Row],[reference]],listeSorties[Quantite])</f>
        <v>50</v>
      </c>
      <c r="H446">
        <f>Table4[[#This Row],[stock initial]]+Table4[[#This Row],[entrees]]-Table4[[#This Row],[sorties]]</f>
        <v>229</v>
      </c>
      <c r="I446">
        <f>Table4[[#This Row],[stock final]]*(VLOOKUP(Table4[[#This Row],[reference]],listeMarchandises[],7,FALSE))</f>
        <v>186436157.00999999</v>
      </c>
      <c r="J446" t="str">
        <f>IF(Table4[[#This Row],[valeur]]&lt;=Table4[[#This Row],[seuil d''alerte]],"stock faible","stock normal")</f>
        <v>stock normal</v>
      </c>
    </row>
    <row r="447" spans="1:10" x14ac:dyDescent="0.25">
      <c r="A447" t="s">
        <v>903</v>
      </c>
      <c r="B447" t="str">
        <f>VLOOKUP(Table4[[#This Row],[reference]],listeMarchandises[],2,FALSE)</f>
        <v>Groupe silencieux 6kVA 103</v>
      </c>
      <c r="C447" t="str">
        <f>VLOOKUP(Table4[[#This Row],[reference]],listeMarchandises[],3,FALSE)</f>
        <v>Groupe electrogene</v>
      </c>
      <c r="D447">
        <f>VLOOKUP(Table4[[#This Row],[reference]],listeMarchandises[],4,FALSE)</f>
        <v>25</v>
      </c>
      <c r="E447">
        <f>VLOOKUP(Table4[[#This Row],[reference]],listeMarchandises[],6,FALSE)</f>
        <v>78</v>
      </c>
      <c r="F447">
        <f>SUMIF(listeEntrées[Reference],Table4[[#This Row],[reference]],listeEntrées[Quantite])</f>
        <v>76</v>
      </c>
      <c r="G447">
        <f>SUMIF(listeSorties[Reference],Table4[[#This Row],[reference]],listeSorties[Quantite])</f>
        <v>59</v>
      </c>
      <c r="H447">
        <f>Table4[[#This Row],[stock initial]]+Table4[[#This Row],[entrees]]-Table4[[#This Row],[sorties]]</f>
        <v>95</v>
      </c>
      <c r="I447">
        <f>Table4[[#This Row],[stock final]]*(VLOOKUP(Table4[[#This Row],[reference]],listeMarchandises[],7,FALSE))</f>
        <v>42709313.399999999</v>
      </c>
      <c r="J447" t="str">
        <f>IF(Table4[[#This Row],[valeur]]&lt;=Table4[[#This Row],[seuil d''alerte]],"stock faible","stock normal")</f>
        <v>stock normal</v>
      </c>
    </row>
    <row r="448" spans="1:10" x14ac:dyDescent="0.25">
      <c r="A448" t="s">
        <v>905</v>
      </c>
      <c r="B448" t="str">
        <f>VLOOKUP(Table4[[#This Row],[reference]],listeMarchandises[],2,FALSE)</f>
        <v>Guitare acoustique 118</v>
      </c>
      <c r="C448" t="str">
        <f>VLOOKUP(Table4[[#This Row],[reference]],listeMarchandises[],3,FALSE)</f>
        <v>Instrument de musique</v>
      </c>
      <c r="D448">
        <f>VLOOKUP(Table4[[#This Row],[reference]],listeMarchandises[],4,FALSE)</f>
        <v>16</v>
      </c>
      <c r="E448">
        <f>VLOOKUP(Table4[[#This Row],[reference]],listeMarchandises[],6,FALSE)</f>
        <v>43</v>
      </c>
      <c r="F448">
        <f>SUMIF(listeEntrées[Reference],Table4[[#This Row],[reference]],listeEntrées[Quantite])</f>
        <v>152</v>
      </c>
      <c r="G448">
        <f>SUMIF(listeSorties[Reference],Table4[[#This Row],[reference]],listeSorties[Quantite])</f>
        <v>0</v>
      </c>
      <c r="H448">
        <f>Table4[[#This Row],[stock initial]]+Table4[[#This Row],[entrees]]-Table4[[#This Row],[sorties]]</f>
        <v>195</v>
      </c>
      <c r="I448">
        <f>Table4[[#This Row],[stock final]]*(VLOOKUP(Table4[[#This Row],[reference]],listeMarchandises[],7,FALSE))</f>
        <v>43792267.350000001</v>
      </c>
      <c r="J448" t="str">
        <f>IF(Table4[[#This Row],[valeur]]&lt;=Table4[[#This Row],[seuil d''alerte]],"stock faible","stock normal")</f>
        <v>stock normal</v>
      </c>
    </row>
    <row r="449" spans="1:10" x14ac:dyDescent="0.25">
      <c r="A449" t="s">
        <v>907</v>
      </c>
      <c r="B449" t="str">
        <f>VLOOKUP(Table4[[#This Row],[reference]],listeMarchandises[],2,FALSE)</f>
        <v>Batterie electronique 119</v>
      </c>
      <c r="C449" t="str">
        <f>VLOOKUP(Table4[[#This Row],[reference]],listeMarchandises[],3,FALSE)</f>
        <v>Instrument de musique</v>
      </c>
      <c r="D449">
        <f>VLOOKUP(Table4[[#This Row],[reference]],listeMarchandises[],4,FALSE)</f>
        <v>3</v>
      </c>
      <c r="E449">
        <f>VLOOKUP(Table4[[#This Row],[reference]],listeMarchandises[],6,FALSE)</f>
        <v>112</v>
      </c>
      <c r="F449">
        <f>SUMIF(listeEntrées[Reference],Table4[[#This Row],[reference]],listeEntrées[Quantite])</f>
        <v>185</v>
      </c>
      <c r="G449">
        <f>SUMIF(listeSorties[Reference],Table4[[#This Row],[reference]],listeSorties[Quantite])</f>
        <v>80</v>
      </c>
      <c r="H449">
        <f>Table4[[#This Row],[stock initial]]+Table4[[#This Row],[entrees]]-Table4[[#This Row],[sorties]]</f>
        <v>217</v>
      </c>
      <c r="I449">
        <f>Table4[[#This Row],[stock final]]*(VLOOKUP(Table4[[#This Row],[reference]],listeMarchandises[],7,FALSE))</f>
        <v>120947284.92</v>
      </c>
      <c r="J449" t="str">
        <f>IF(Table4[[#This Row],[valeur]]&lt;=Table4[[#This Row],[seuil d''alerte]],"stock faible","stock normal")</f>
        <v>stock normal</v>
      </c>
    </row>
    <row r="450" spans="1:10" x14ac:dyDescent="0.25">
      <c r="A450" t="s">
        <v>909</v>
      </c>
      <c r="B450" t="str">
        <f>VLOOKUP(Table4[[#This Row],[reference]],listeMarchandises[],2,FALSE)</f>
        <v>Congelateur 118</v>
      </c>
      <c r="C450" t="str">
        <f>VLOOKUP(Table4[[#This Row],[reference]],listeMarchandises[],3,FALSE)</f>
        <v>Electromenager</v>
      </c>
      <c r="D450">
        <f>VLOOKUP(Table4[[#This Row],[reference]],listeMarchandises[],4,FALSE)</f>
        <v>5</v>
      </c>
      <c r="E450">
        <f>VLOOKUP(Table4[[#This Row],[reference]],listeMarchandises[],6,FALSE)</f>
        <v>15</v>
      </c>
      <c r="F450">
        <f>SUMIF(listeEntrées[Reference],Table4[[#This Row],[reference]],listeEntrées[Quantite])</f>
        <v>0</v>
      </c>
      <c r="G450">
        <f>SUMIF(listeSorties[Reference],Table4[[#This Row],[reference]],listeSorties[Quantite])</f>
        <v>72</v>
      </c>
      <c r="H450">
        <f>Table4[[#This Row],[stock initial]]+Table4[[#This Row],[entrees]]-Table4[[#This Row],[sorties]]</f>
        <v>-57</v>
      </c>
      <c r="I450">
        <f>Table4[[#This Row],[stock final]]*(VLOOKUP(Table4[[#This Row],[reference]],listeMarchandises[],7,FALSE))</f>
        <v>-13033457.549999999</v>
      </c>
      <c r="J450" t="str">
        <f>IF(Table4[[#This Row],[valeur]]&lt;=Table4[[#This Row],[seuil d''alerte]],"stock faible","stock normal")</f>
        <v>stock faible</v>
      </c>
    </row>
    <row r="451" spans="1:10" x14ac:dyDescent="0.25">
      <c r="A451" t="s">
        <v>911</v>
      </c>
      <c r="B451" t="str">
        <f>VLOOKUP(Table4[[#This Row],[reference]],listeMarchandises[],2,FALSE)</f>
        <v>Aspirateur 119</v>
      </c>
      <c r="C451" t="str">
        <f>VLOOKUP(Table4[[#This Row],[reference]],listeMarchandises[],3,FALSE)</f>
        <v>Electromenager</v>
      </c>
      <c r="D451">
        <f>VLOOKUP(Table4[[#This Row],[reference]],listeMarchandises[],4,FALSE)</f>
        <v>7</v>
      </c>
      <c r="E451">
        <f>VLOOKUP(Table4[[#This Row],[reference]],listeMarchandises[],6,FALSE)</f>
        <v>93</v>
      </c>
      <c r="F451">
        <f>SUMIF(listeEntrées[Reference],Table4[[#This Row],[reference]],listeEntrées[Quantite])</f>
        <v>25</v>
      </c>
      <c r="G451">
        <f>SUMIF(listeSorties[Reference],Table4[[#This Row],[reference]],listeSorties[Quantite])</f>
        <v>17</v>
      </c>
      <c r="H451">
        <f>Table4[[#This Row],[stock initial]]+Table4[[#This Row],[entrees]]-Table4[[#This Row],[sorties]]</f>
        <v>101</v>
      </c>
      <c r="I451">
        <f>Table4[[#This Row],[stock final]]*(VLOOKUP(Table4[[#This Row],[reference]],listeMarchandises[],7,FALSE))</f>
        <v>9945514.4399999995</v>
      </c>
      <c r="J451" t="str">
        <f>IF(Table4[[#This Row],[valeur]]&lt;=Table4[[#This Row],[seuil d''alerte]],"stock faible","stock normal")</f>
        <v>stock normal</v>
      </c>
    </row>
    <row r="452" spans="1:10" x14ac:dyDescent="0.25">
      <c r="A452" t="s">
        <v>913</v>
      </c>
      <c r="B452" t="str">
        <f>VLOOKUP(Table4[[#This Row],[reference]],listeMarchandises[],2,FALSE)</f>
        <v>Smartphone Prime 110</v>
      </c>
      <c r="C452" t="str">
        <f>VLOOKUP(Table4[[#This Row],[reference]],listeMarchandises[],3,FALSE)</f>
        <v>Smartphone</v>
      </c>
      <c r="D452">
        <f>VLOOKUP(Table4[[#This Row],[reference]],listeMarchandises[],4,FALSE)</f>
        <v>13</v>
      </c>
      <c r="E452">
        <f>VLOOKUP(Table4[[#This Row],[reference]],listeMarchandises[],6,FALSE)</f>
        <v>97</v>
      </c>
      <c r="F452">
        <f>SUMIF(listeEntrées[Reference],Table4[[#This Row],[reference]],listeEntrées[Quantite])</f>
        <v>6</v>
      </c>
      <c r="G452">
        <f>SUMIF(listeSorties[Reference],Table4[[#This Row],[reference]],listeSorties[Quantite])</f>
        <v>0</v>
      </c>
      <c r="H452">
        <f>Table4[[#This Row],[stock initial]]+Table4[[#This Row],[entrees]]-Table4[[#This Row],[sorties]]</f>
        <v>103</v>
      </c>
      <c r="I452">
        <f>Table4[[#This Row],[stock final]]*(VLOOKUP(Table4[[#This Row],[reference]],listeMarchandises[],7,FALSE))</f>
        <v>101654796.31</v>
      </c>
      <c r="J452" t="str">
        <f>IF(Table4[[#This Row],[valeur]]&lt;=Table4[[#This Row],[seuil d''alerte]],"stock faible","stock normal")</f>
        <v>stock normal</v>
      </c>
    </row>
    <row r="453" spans="1:10" x14ac:dyDescent="0.25">
      <c r="A453" t="s">
        <v>915</v>
      </c>
      <c r="B453" t="str">
        <f>VLOOKUP(Table4[[#This Row],[reference]],listeMarchandises[],2,FALSE)</f>
        <v>Smartphone Prime 111</v>
      </c>
      <c r="C453" t="str">
        <f>VLOOKUP(Table4[[#This Row],[reference]],listeMarchandises[],3,FALSE)</f>
        <v>Smartphone</v>
      </c>
      <c r="D453">
        <f>VLOOKUP(Table4[[#This Row],[reference]],listeMarchandises[],4,FALSE)</f>
        <v>17</v>
      </c>
      <c r="E453">
        <f>VLOOKUP(Table4[[#This Row],[reference]],listeMarchandises[],6,FALSE)</f>
        <v>78</v>
      </c>
      <c r="F453">
        <f>SUMIF(listeEntrées[Reference],Table4[[#This Row],[reference]],listeEntrées[Quantite])</f>
        <v>0</v>
      </c>
      <c r="G453">
        <f>SUMIF(listeSorties[Reference],Table4[[#This Row],[reference]],listeSorties[Quantite])</f>
        <v>148</v>
      </c>
      <c r="H453">
        <f>Table4[[#This Row],[stock initial]]+Table4[[#This Row],[entrees]]-Table4[[#This Row],[sorties]]</f>
        <v>-70</v>
      </c>
      <c r="I453">
        <f>Table4[[#This Row],[stock final]]*(VLOOKUP(Table4[[#This Row],[reference]],listeMarchandises[],7,FALSE))</f>
        <v>-40340246.100000001</v>
      </c>
      <c r="J453" t="str">
        <f>IF(Table4[[#This Row],[valeur]]&lt;=Table4[[#This Row],[seuil d''alerte]],"stock faible","stock normal")</f>
        <v>stock faible</v>
      </c>
    </row>
    <row r="454" spans="1:10" x14ac:dyDescent="0.25">
      <c r="A454" t="s">
        <v>917</v>
      </c>
      <c r="B454" t="str">
        <f>VLOOKUP(Table4[[#This Row],[reference]],listeMarchandises[],2,FALSE)</f>
        <v>Refrigerateur 120</v>
      </c>
      <c r="C454" t="str">
        <f>VLOOKUP(Table4[[#This Row],[reference]],listeMarchandises[],3,FALSE)</f>
        <v>Electromenager</v>
      </c>
      <c r="D454">
        <f>VLOOKUP(Table4[[#This Row],[reference]],listeMarchandises[],4,FALSE)</f>
        <v>15</v>
      </c>
      <c r="E454">
        <f>VLOOKUP(Table4[[#This Row],[reference]],listeMarchandises[],6,FALSE)</f>
        <v>54</v>
      </c>
      <c r="F454">
        <f>SUMIF(listeEntrées[Reference],Table4[[#This Row],[reference]],listeEntrées[Quantite])</f>
        <v>97</v>
      </c>
      <c r="G454">
        <f>SUMIF(listeSorties[Reference],Table4[[#This Row],[reference]],listeSorties[Quantite])</f>
        <v>0</v>
      </c>
      <c r="H454">
        <f>Table4[[#This Row],[stock initial]]+Table4[[#This Row],[entrees]]-Table4[[#This Row],[sorties]]</f>
        <v>151</v>
      </c>
      <c r="I454">
        <f>Table4[[#This Row],[stock final]]*(VLOOKUP(Table4[[#This Row],[reference]],listeMarchandises[],7,FALSE))</f>
        <v>136261330.92000002</v>
      </c>
      <c r="J454" t="str">
        <f>IF(Table4[[#This Row],[valeur]]&lt;=Table4[[#This Row],[seuil d''alerte]],"stock faible","stock normal")</f>
        <v>stock normal</v>
      </c>
    </row>
    <row r="455" spans="1:10" x14ac:dyDescent="0.25">
      <c r="A455" t="s">
        <v>919</v>
      </c>
      <c r="B455" t="str">
        <f>VLOOKUP(Table4[[#This Row],[reference]],listeMarchandises[],2,FALSE)</f>
        <v>Saxophone alto 120</v>
      </c>
      <c r="C455" t="str">
        <f>VLOOKUP(Table4[[#This Row],[reference]],listeMarchandises[],3,FALSE)</f>
        <v>Instrument de musique</v>
      </c>
      <c r="D455">
        <f>VLOOKUP(Table4[[#This Row],[reference]],listeMarchandises[],4,FALSE)</f>
        <v>17</v>
      </c>
      <c r="E455">
        <f>VLOOKUP(Table4[[#This Row],[reference]],listeMarchandises[],6,FALSE)</f>
        <v>281</v>
      </c>
      <c r="F455">
        <f>SUMIF(listeEntrées[Reference],Table4[[#This Row],[reference]],listeEntrées[Quantite])</f>
        <v>13</v>
      </c>
      <c r="G455">
        <f>SUMIF(listeSorties[Reference],Table4[[#This Row],[reference]],listeSorties[Quantite])</f>
        <v>0</v>
      </c>
      <c r="H455">
        <f>Table4[[#This Row],[stock initial]]+Table4[[#This Row],[entrees]]-Table4[[#This Row],[sorties]]</f>
        <v>294</v>
      </c>
      <c r="I455">
        <f>Table4[[#This Row],[stock final]]*(VLOOKUP(Table4[[#This Row],[reference]],listeMarchandises[],7,FALSE))</f>
        <v>23246012.580000002</v>
      </c>
      <c r="J455" t="str">
        <f>IF(Table4[[#This Row],[valeur]]&lt;=Table4[[#This Row],[seuil d''alerte]],"stock faible","stock normal")</f>
        <v>stock normal</v>
      </c>
    </row>
    <row r="456" spans="1:10" x14ac:dyDescent="0.25">
      <c r="A456" t="s">
        <v>921</v>
      </c>
      <c r="B456" t="str">
        <f>VLOOKUP(Table4[[#This Row],[reference]],listeMarchandises[],2,FALSE)</f>
        <v>Clavier arrangeur 121</v>
      </c>
      <c r="C456" t="str">
        <f>VLOOKUP(Table4[[#This Row],[reference]],listeMarchandises[],3,FALSE)</f>
        <v>Instrument de musique</v>
      </c>
      <c r="D456">
        <f>VLOOKUP(Table4[[#This Row],[reference]],listeMarchandises[],4,FALSE)</f>
        <v>12</v>
      </c>
      <c r="E456">
        <f>VLOOKUP(Table4[[#This Row],[reference]],listeMarchandises[],6,FALSE)</f>
        <v>251</v>
      </c>
      <c r="F456">
        <f>SUMIF(listeEntrées[Reference],Table4[[#This Row],[reference]],listeEntrées[Quantite])</f>
        <v>0</v>
      </c>
      <c r="G456">
        <f>SUMIF(listeSorties[Reference],Table4[[#This Row],[reference]],listeSorties[Quantite])</f>
        <v>145</v>
      </c>
      <c r="H456">
        <f>Table4[[#This Row],[stock initial]]+Table4[[#This Row],[entrees]]-Table4[[#This Row],[sorties]]</f>
        <v>106</v>
      </c>
      <c r="I456">
        <f>Table4[[#This Row],[stock final]]*(VLOOKUP(Table4[[#This Row],[reference]],listeMarchandises[],7,FALSE))</f>
        <v>128346973</v>
      </c>
      <c r="J456" t="str">
        <f>IF(Table4[[#This Row],[valeur]]&lt;=Table4[[#This Row],[seuil d''alerte]],"stock faible","stock normal")</f>
        <v>stock normal</v>
      </c>
    </row>
    <row r="457" spans="1:10" x14ac:dyDescent="0.25">
      <c r="A457" t="s">
        <v>923</v>
      </c>
      <c r="B457" t="str">
        <f>VLOOKUP(Table4[[#This Row],[reference]],listeMarchandises[],2,FALSE)</f>
        <v>Batterie electronique 122</v>
      </c>
      <c r="C457" t="str">
        <f>VLOOKUP(Table4[[#This Row],[reference]],listeMarchandises[],3,FALSE)</f>
        <v>Instrument de musique</v>
      </c>
      <c r="D457">
        <f>VLOOKUP(Table4[[#This Row],[reference]],listeMarchandises[],4,FALSE)</f>
        <v>3</v>
      </c>
      <c r="E457">
        <f>VLOOKUP(Table4[[#This Row],[reference]],listeMarchandises[],6,FALSE)</f>
        <v>287</v>
      </c>
      <c r="F457">
        <f>SUMIF(listeEntrées[Reference],Table4[[#This Row],[reference]],listeEntrées[Quantite])</f>
        <v>279</v>
      </c>
      <c r="G457">
        <f>SUMIF(listeSorties[Reference],Table4[[#This Row],[reference]],listeSorties[Quantite])</f>
        <v>110</v>
      </c>
      <c r="H457">
        <f>Table4[[#This Row],[stock initial]]+Table4[[#This Row],[entrees]]-Table4[[#This Row],[sorties]]</f>
        <v>456</v>
      </c>
      <c r="I457">
        <f>Table4[[#This Row],[stock final]]*(VLOOKUP(Table4[[#This Row],[reference]],listeMarchandises[],7,FALSE))</f>
        <v>886647904.80000007</v>
      </c>
      <c r="J457" t="str">
        <f>IF(Table4[[#This Row],[valeur]]&lt;=Table4[[#This Row],[seuil d''alerte]],"stock faible","stock normal")</f>
        <v>stock normal</v>
      </c>
    </row>
    <row r="458" spans="1:10" x14ac:dyDescent="0.25">
      <c r="A458" t="s">
        <v>925</v>
      </c>
      <c r="B458" t="str">
        <f>VLOOKUP(Table4[[#This Row],[reference]],listeMarchandises[],2,FALSE)</f>
        <v>Batterie electronique 123</v>
      </c>
      <c r="C458" t="str">
        <f>VLOOKUP(Table4[[#This Row],[reference]],listeMarchandises[],3,FALSE)</f>
        <v>Instrument de musique</v>
      </c>
      <c r="D458">
        <f>VLOOKUP(Table4[[#This Row],[reference]],listeMarchandises[],4,FALSE)</f>
        <v>17</v>
      </c>
      <c r="E458">
        <f>VLOOKUP(Table4[[#This Row],[reference]],listeMarchandises[],6,FALSE)</f>
        <v>32</v>
      </c>
      <c r="F458">
        <f>SUMIF(listeEntrées[Reference],Table4[[#This Row],[reference]],listeEntrées[Quantite])</f>
        <v>0</v>
      </c>
      <c r="G458">
        <f>SUMIF(listeSorties[Reference],Table4[[#This Row],[reference]],listeSorties[Quantite])</f>
        <v>0</v>
      </c>
      <c r="H458">
        <f>Table4[[#This Row],[stock initial]]+Table4[[#This Row],[entrees]]-Table4[[#This Row],[sorties]]</f>
        <v>32</v>
      </c>
      <c r="I458">
        <f>Table4[[#This Row],[stock final]]*(VLOOKUP(Table4[[#This Row],[reference]],listeMarchandises[],7,FALSE))</f>
        <v>13378608</v>
      </c>
      <c r="J458" t="str">
        <f>IF(Table4[[#This Row],[valeur]]&lt;=Table4[[#This Row],[seuil d''alerte]],"stock faible","stock normal")</f>
        <v>stock normal</v>
      </c>
    </row>
    <row r="459" spans="1:10" x14ac:dyDescent="0.25">
      <c r="A459" t="s">
        <v>927</v>
      </c>
      <c r="B459" t="str">
        <f>VLOOKUP(Table4[[#This Row],[reference]],listeMarchandises[],2,FALSE)</f>
        <v>Smartphone Ultra 112</v>
      </c>
      <c r="C459" t="str">
        <f>VLOOKUP(Table4[[#This Row],[reference]],listeMarchandises[],3,FALSE)</f>
        <v>Smartphone</v>
      </c>
      <c r="D459">
        <f>VLOOKUP(Table4[[#This Row],[reference]],listeMarchandises[],4,FALSE)</f>
        <v>10</v>
      </c>
      <c r="E459">
        <f>VLOOKUP(Table4[[#This Row],[reference]],listeMarchandises[],6,FALSE)</f>
        <v>138</v>
      </c>
      <c r="F459">
        <f>SUMIF(listeEntrées[Reference],Table4[[#This Row],[reference]],listeEntrées[Quantite])</f>
        <v>151</v>
      </c>
      <c r="G459">
        <f>SUMIF(listeSorties[Reference],Table4[[#This Row],[reference]],listeSorties[Quantite])</f>
        <v>73</v>
      </c>
      <c r="H459">
        <f>Table4[[#This Row],[stock initial]]+Table4[[#This Row],[entrees]]-Table4[[#This Row],[sorties]]</f>
        <v>216</v>
      </c>
      <c r="I459">
        <f>Table4[[#This Row],[stock final]]*(VLOOKUP(Table4[[#This Row],[reference]],listeMarchandises[],7,FALSE))</f>
        <v>312586620.48000002</v>
      </c>
      <c r="J459" t="str">
        <f>IF(Table4[[#This Row],[valeur]]&lt;=Table4[[#This Row],[seuil d''alerte]],"stock faible","stock normal")</f>
        <v>stock normal</v>
      </c>
    </row>
    <row r="460" spans="1:10" x14ac:dyDescent="0.25">
      <c r="A460" t="s">
        <v>929</v>
      </c>
      <c r="B460" t="str">
        <f>VLOOKUP(Table4[[#This Row],[reference]],listeMarchandises[],2,FALSE)</f>
        <v>Smartphone Alpha 113</v>
      </c>
      <c r="C460" t="str">
        <f>VLOOKUP(Table4[[#This Row],[reference]],listeMarchandises[],3,FALSE)</f>
        <v>Smartphone</v>
      </c>
      <c r="D460">
        <f>VLOOKUP(Table4[[#This Row],[reference]],listeMarchandises[],4,FALSE)</f>
        <v>19</v>
      </c>
      <c r="E460">
        <f>VLOOKUP(Table4[[#This Row],[reference]],listeMarchandises[],6,FALSE)</f>
        <v>319</v>
      </c>
      <c r="F460">
        <f>SUMIF(listeEntrées[Reference],Table4[[#This Row],[reference]],listeEntrées[Quantite])</f>
        <v>137</v>
      </c>
      <c r="G460">
        <f>SUMIF(listeSorties[Reference],Table4[[#This Row],[reference]],listeSorties[Quantite])</f>
        <v>168</v>
      </c>
      <c r="H460">
        <f>Table4[[#This Row],[stock initial]]+Table4[[#This Row],[entrees]]-Table4[[#This Row],[sorties]]</f>
        <v>288</v>
      </c>
      <c r="I460">
        <f>Table4[[#This Row],[stock final]]*(VLOOKUP(Table4[[#This Row],[reference]],listeMarchandises[],7,FALSE))</f>
        <v>360816785.28000003</v>
      </c>
      <c r="J460" t="str">
        <f>IF(Table4[[#This Row],[valeur]]&lt;=Table4[[#This Row],[seuil d''alerte]],"stock faible","stock normal")</f>
        <v>stock normal</v>
      </c>
    </row>
    <row r="461" spans="1:10" x14ac:dyDescent="0.25">
      <c r="A461" t="s">
        <v>931</v>
      </c>
      <c r="B461" t="str">
        <f>VLOOKUP(Table4[[#This Row],[reference]],listeMarchandises[],2,FALSE)</f>
        <v>Smartphone Prime 114</v>
      </c>
      <c r="C461" t="str">
        <f>VLOOKUP(Table4[[#This Row],[reference]],listeMarchandises[],3,FALSE)</f>
        <v>Smartphone</v>
      </c>
      <c r="D461">
        <f>VLOOKUP(Table4[[#This Row],[reference]],listeMarchandises[],4,FALSE)</f>
        <v>7</v>
      </c>
      <c r="E461">
        <f>VLOOKUP(Table4[[#This Row],[reference]],listeMarchandises[],6,FALSE)</f>
        <v>349</v>
      </c>
      <c r="F461">
        <f>SUMIF(listeEntrées[Reference],Table4[[#This Row],[reference]],listeEntrées[Quantite])</f>
        <v>0</v>
      </c>
      <c r="G461">
        <f>SUMIF(listeSorties[Reference],Table4[[#This Row],[reference]],listeSorties[Quantite])</f>
        <v>194</v>
      </c>
      <c r="H461">
        <f>Table4[[#This Row],[stock initial]]+Table4[[#This Row],[entrees]]-Table4[[#This Row],[sorties]]</f>
        <v>155</v>
      </c>
      <c r="I461">
        <f>Table4[[#This Row],[stock final]]*(VLOOKUP(Table4[[#This Row],[reference]],listeMarchandises[],7,FALSE))</f>
        <v>110211187.60000001</v>
      </c>
      <c r="J461" t="str">
        <f>IF(Table4[[#This Row],[valeur]]&lt;=Table4[[#This Row],[seuil d''alerte]],"stock faible","stock normal")</f>
        <v>stock normal</v>
      </c>
    </row>
    <row r="462" spans="1:10" x14ac:dyDescent="0.25">
      <c r="A462" t="s">
        <v>933</v>
      </c>
      <c r="B462" t="str">
        <f>VLOOKUP(Table4[[#This Row],[reference]],listeMarchandises[],2,FALSE)</f>
        <v>Smartphone Prime 115</v>
      </c>
      <c r="C462" t="str">
        <f>VLOOKUP(Table4[[#This Row],[reference]],listeMarchandises[],3,FALSE)</f>
        <v>Smartphone</v>
      </c>
      <c r="D462">
        <f>VLOOKUP(Table4[[#This Row],[reference]],listeMarchandises[],4,FALSE)</f>
        <v>17</v>
      </c>
      <c r="E462">
        <f>VLOOKUP(Table4[[#This Row],[reference]],listeMarchandises[],6,FALSE)</f>
        <v>33</v>
      </c>
      <c r="F462">
        <f>SUMIF(listeEntrées[Reference],Table4[[#This Row],[reference]],listeEntrées[Quantite])</f>
        <v>0</v>
      </c>
      <c r="G462">
        <f>SUMIF(listeSorties[Reference],Table4[[#This Row],[reference]],listeSorties[Quantite])</f>
        <v>164</v>
      </c>
      <c r="H462">
        <f>Table4[[#This Row],[stock initial]]+Table4[[#This Row],[entrees]]-Table4[[#This Row],[sorties]]</f>
        <v>-131</v>
      </c>
      <c r="I462">
        <f>Table4[[#This Row],[stock final]]*(VLOOKUP(Table4[[#This Row],[reference]],listeMarchandises[],7,FALSE))</f>
        <v>-199620789.42000002</v>
      </c>
      <c r="J462" t="str">
        <f>IF(Table4[[#This Row],[valeur]]&lt;=Table4[[#This Row],[seuil d''alerte]],"stock faible","stock normal")</f>
        <v>stock faible</v>
      </c>
    </row>
    <row r="463" spans="1:10" x14ac:dyDescent="0.25">
      <c r="A463" t="s">
        <v>935</v>
      </c>
      <c r="B463" t="str">
        <f>VLOOKUP(Table4[[#This Row],[reference]],listeMarchandises[],2,FALSE)</f>
        <v>Lave-linge 121</v>
      </c>
      <c r="C463" t="str">
        <f>VLOOKUP(Table4[[#This Row],[reference]],listeMarchandises[],3,FALSE)</f>
        <v>Electromenager</v>
      </c>
      <c r="D463">
        <f>VLOOKUP(Table4[[#This Row],[reference]],listeMarchandises[],4,FALSE)</f>
        <v>14</v>
      </c>
      <c r="E463">
        <f>VLOOKUP(Table4[[#This Row],[reference]],listeMarchandises[],6,FALSE)</f>
        <v>316</v>
      </c>
      <c r="F463">
        <f>SUMIF(listeEntrées[Reference],Table4[[#This Row],[reference]],listeEntrées[Quantite])</f>
        <v>212</v>
      </c>
      <c r="G463">
        <f>SUMIF(listeSorties[Reference],Table4[[#This Row],[reference]],listeSorties[Quantite])</f>
        <v>89</v>
      </c>
      <c r="H463">
        <f>Table4[[#This Row],[stock initial]]+Table4[[#This Row],[entrees]]-Table4[[#This Row],[sorties]]</f>
        <v>439</v>
      </c>
      <c r="I463">
        <f>Table4[[#This Row],[stock final]]*(VLOOKUP(Table4[[#This Row],[reference]],listeMarchandises[],7,FALSE))</f>
        <v>32022143.82</v>
      </c>
      <c r="J463" t="str">
        <f>IF(Table4[[#This Row],[valeur]]&lt;=Table4[[#This Row],[seuil d''alerte]],"stock faible","stock normal")</f>
        <v>stock normal</v>
      </c>
    </row>
    <row r="464" spans="1:10" x14ac:dyDescent="0.25">
      <c r="A464" t="s">
        <v>937</v>
      </c>
      <c r="B464" t="str">
        <f>VLOOKUP(Table4[[#This Row],[reference]],listeMarchandises[],2,FALSE)</f>
        <v>Mixeur 122</v>
      </c>
      <c r="C464" t="str">
        <f>VLOOKUP(Table4[[#This Row],[reference]],listeMarchandises[],3,FALSE)</f>
        <v>Electromenager</v>
      </c>
      <c r="D464">
        <f>VLOOKUP(Table4[[#This Row],[reference]],listeMarchandises[],4,FALSE)</f>
        <v>5</v>
      </c>
      <c r="E464">
        <f>VLOOKUP(Table4[[#This Row],[reference]],listeMarchandises[],6,FALSE)</f>
        <v>115</v>
      </c>
      <c r="F464">
        <f>SUMIF(listeEntrées[Reference],Table4[[#This Row],[reference]],listeEntrées[Quantite])</f>
        <v>36</v>
      </c>
      <c r="G464">
        <f>SUMIF(listeSorties[Reference],Table4[[#This Row],[reference]],listeSorties[Quantite])</f>
        <v>294</v>
      </c>
      <c r="H464">
        <f>Table4[[#This Row],[stock initial]]+Table4[[#This Row],[entrees]]-Table4[[#This Row],[sorties]]</f>
        <v>-143</v>
      </c>
      <c r="I464">
        <f>Table4[[#This Row],[stock final]]*(VLOOKUP(Table4[[#This Row],[reference]],listeMarchandises[],7,FALSE))</f>
        <v>-80974236.200000003</v>
      </c>
      <c r="J464" t="str">
        <f>IF(Table4[[#This Row],[valeur]]&lt;=Table4[[#This Row],[seuil d''alerte]],"stock faible","stock normal")</f>
        <v>stock faible</v>
      </c>
    </row>
    <row r="465" spans="1:10" x14ac:dyDescent="0.25">
      <c r="A465" t="s">
        <v>939</v>
      </c>
      <c r="B465" t="str">
        <f>VLOOKUP(Table4[[#This Row],[reference]],listeMarchandises[],2,FALSE)</f>
        <v>Groupe silencieux 6kVA 104</v>
      </c>
      <c r="C465" t="str">
        <f>VLOOKUP(Table4[[#This Row],[reference]],listeMarchandises[],3,FALSE)</f>
        <v>Groupe electrogene</v>
      </c>
      <c r="D465">
        <f>VLOOKUP(Table4[[#This Row],[reference]],listeMarchandises[],4,FALSE)</f>
        <v>25</v>
      </c>
      <c r="E465">
        <f>VLOOKUP(Table4[[#This Row],[reference]],listeMarchandises[],6,FALSE)</f>
        <v>284</v>
      </c>
      <c r="F465">
        <f>SUMIF(listeEntrées[Reference],Table4[[#This Row],[reference]],listeEntrées[Quantite])</f>
        <v>0</v>
      </c>
      <c r="G465">
        <f>SUMIF(listeSorties[Reference],Table4[[#This Row],[reference]],listeSorties[Quantite])</f>
        <v>107</v>
      </c>
      <c r="H465">
        <f>Table4[[#This Row],[stock initial]]+Table4[[#This Row],[entrees]]-Table4[[#This Row],[sorties]]</f>
        <v>177</v>
      </c>
      <c r="I465">
        <f>Table4[[#This Row],[stock final]]*(VLOOKUP(Table4[[#This Row],[reference]],listeMarchandises[],7,FALSE))</f>
        <v>547089804.45000005</v>
      </c>
      <c r="J465" t="str">
        <f>IF(Table4[[#This Row],[valeur]]&lt;=Table4[[#This Row],[seuil d''alerte]],"stock faible","stock normal")</f>
        <v>stock normal</v>
      </c>
    </row>
    <row r="466" spans="1:10" x14ac:dyDescent="0.25">
      <c r="A466" t="s">
        <v>941</v>
      </c>
      <c r="B466" t="str">
        <f>VLOOKUP(Table4[[#This Row],[reference]],listeMarchandises[],2,FALSE)</f>
        <v>Smartphone Alpha 116</v>
      </c>
      <c r="C466" t="str">
        <f>VLOOKUP(Table4[[#This Row],[reference]],listeMarchandises[],3,FALSE)</f>
        <v>Smartphone</v>
      </c>
      <c r="D466">
        <f>VLOOKUP(Table4[[#This Row],[reference]],listeMarchandises[],4,FALSE)</f>
        <v>20</v>
      </c>
      <c r="E466">
        <f>VLOOKUP(Table4[[#This Row],[reference]],listeMarchandises[],6,FALSE)</f>
        <v>357</v>
      </c>
      <c r="F466">
        <f>SUMIF(listeEntrées[Reference],Table4[[#This Row],[reference]],listeEntrées[Quantite])</f>
        <v>102</v>
      </c>
      <c r="G466">
        <f>SUMIF(listeSorties[Reference],Table4[[#This Row],[reference]],listeSorties[Quantite])</f>
        <v>67</v>
      </c>
      <c r="H466">
        <f>Table4[[#This Row],[stock initial]]+Table4[[#This Row],[entrees]]-Table4[[#This Row],[sorties]]</f>
        <v>392</v>
      </c>
      <c r="I466">
        <f>Table4[[#This Row],[stock final]]*(VLOOKUP(Table4[[#This Row],[reference]],listeMarchandises[],7,FALSE))</f>
        <v>538763914.08000004</v>
      </c>
      <c r="J466" t="str">
        <f>IF(Table4[[#This Row],[valeur]]&lt;=Table4[[#This Row],[seuil d''alerte]],"stock faible","stock normal")</f>
        <v>stock normal</v>
      </c>
    </row>
    <row r="467" spans="1:10" x14ac:dyDescent="0.25">
      <c r="A467" t="s">
        <v>943</v>
      </c>
      <c r="B467" t="str">
        <f>VLOOKUP(Table4[[#This Row],[reference]],listeMarchandises[],2,FALSE)</f>
        <v>Smartphone Alpha 117</v>
      </c>
      <c r="C467" t="str">
        <f>VLOOKUP(Table4[[#This Row],[reference]],listeMarchandises[],3,FALSE)</f>
        <v>Smartphone</v>
      </c>
      <c r="D467">
        <f>VLOOKUP(Table4[[#This Row],[reference]],listeMarchandises[],4,FALSE)</f>
        <v>17</v>
      </c>
      <c r="E467">
        <f>VLOOKUP(Table4[[#This Row],[reference]],listeMarchandises[],6,FALSE)</f>
        <v>299</v>
      </c>
      <c r="F467">
        <f>SUMIF(listeEntrées[Reference],Table4[[#This Row],[reference]],listeEntrées[Quantite])</f>
        <v>41</v>
      </c>
      <c r="G467">
        <f>SUMIF(listeSorties[Reference],Table4[[#This Row],[reference]],listeSorties[Quantite])</f>
        <v>0</v>
      </c>
      <c r="H467">
        <f>Table4[[#This Row],[stock initial]]+Table4[[#This Row],[entrees]]-Table4[[#This Row],[sorties]]</f>
        <v>340</v>
      </c>
      <c r="I467">
        <f>Table4[[#This Row],[stock final]]*(VLOOKUP(Table4[[#This Row],[reference]],listeMarchandises[],7,FALSE))</f>
        <v>484431581.80000001</v>
      </c>
      <c r="J467" t="str">
        <f>IF(Table4[[#This Row],[valeur]]&lt;=Table4[[#This Row],[seuil d''alerte]],"stock faible","stock normal")</f>
        <v>stock normal</v>
      </c>
    </row>
    <row r="468" spans="1:10" x14ac:dyDescent="0.25">
      <c r="A468" t="s">
        <v>945</v>
      </c>
      <c r="B468" t="str">
        <f>VLOOKUP(Table4[[#This Row],[reference]],listeMarchandises[],2,FALSE)</f>
        <v>Smartphone Alpha 118</v>
      </c>
      <c r="C468" t="str">
        <f>VLOOKUP(Table4[[#This Row],[reference]],listeMarchandises[],3,FALSE)</f>
        <v>Smartphone</v>
      </c>
      <c r="D468">
        <f>VLOOKUP(Table4[[#This Row],[reference]],listeMarchandises[],4,FALSE)</f>
        <v>16</v>
      </c>
      <c r="E468">
        <f>VLOOKUP(Table4[[#This Row],[reference]],listeMarchandises[],6,FALSE)</f>
        <v>351</v>
      </c>
      <c r="F468">
        <f>SUMIF(listeEntrées[Reference],Table4[[#This Row],[reference]],listeEntrées[Quantite])</f>
        <v>153</v>
      </c>
      <c r="G468">
        <f>SUMIF(listeSorties[Reference],Table4[[#This Row],[reference]],listeSorties[Quantite])</f>
        <v>54</v>
      </c>
      <c r="H468">
        <f>Table4[[#This Row],[stock initial]]+Table4[[#This Row],[entrees]]-Table4[[#This Row],[sorties]]</f>
        <v>450</v>
      </c>
      <c r="I468">
        <f>Table4[[#This Row],[stock final]]*(VLOOKUP(Table4[[#This Row],[reference]],listeMarchandises[],7,FALSE))</f>
        <v>265122013.5</v>
      </c>
      <c r="J468" t="str">
        <f>IF(Table4[[#This Row],[valeur]]&lt;=Table4[[#This Row],[seuil d''alerte]],"stock faible","stock normal")</f>
        <v>stock normal</v>
      </c>
    </row>
    <row r="469" spans="1:10" x14ac:dyDescent="0.25">
      <c r="A469" t="s">
        <v>947</v>
      </c>
      <c r="B469" t="str">
        <f>VLOOKUP(Table4[[#This Row],[reference]],listeMarchandises[],2,FALSE)</f>
        <v>Groupe 8kVA 105</v>
      </c>
      <c r="C469" t="str">
        <f>VLOOKUP(Table4[[#This Row],[reference]],listeMarchandises[],3,FALSE)</f>
        <v>Groupe electrogene</v>
      </c>
      <c r="D469">
        <f>VLOOKUP(Table4[[#This Row],[reference]],listeMarchandises[],4,FALSE)</f>
        <v>13</v>
      </c>
      <c r="E469">
        <f>VLOOKUP(Table4[[#This Row],[reference]],listeMarchandises[],6,FALSE)</f>
        <v>307</v>
      </c>
      <c r="F469">
        <f>SUMIF(listeEntrées[Reference],Table4[[#This Row],[reference]],listeEntrées[Quantite])</f>
        <v>276</v>
      </c>
      <c r="G469">
        <f>SUMIF(listeSorties[Reference],Table4[[#This Row],[reference]],listeSorties[Quantite])</f>
        <v>116</v>
      </c>
      <c r="H469">
        <f>Table4[[#This Row],[stock initial]]+Table4[[#This Row],[entrees]]-Table4[[#This Row],[sorties]]</f>
        <v>467</v>
      </c>
      <c r="I469">
        <f>Table4[[#This Row],[stock final]]*(VLOOKUP(Table4[[#This Row],[reference]],listeMarchandises[],7,FALSE))</f>
        <v>627570706.83000004</v>
      </c>
      <c r="J469" t="str">
        <f>IF(Table4[[#This Row],[valeur]]&lt;=Table4[[#This Row],[seuil d''alerte]],"stock faible","stock normal")</f>
        <v>stock normal</v>
      </c>
    </row>
    <row r="470" spans="1:10" x14ac:dyDescent="0.25">
      <c r="A470" t="s">
        <v>949</v>
      </c>
      <c r="B470" t="str">
        <f>VLOOKUP(Table4[[#This Row],[reference]],listeMarchandises[],2,FALSE)</f>
        <v>Clavier arrangeur 124</v>
      </c>
      <c r="C470" t="str">
        <f>VLOOKUP(Table4[[#This Row],[reference]],listeMarchandises[],3,FALSE)</f>
        <v>Instrument de musique</v>
      </c>
      <c r="D470">
        <f>VLOOKUP(Table4[[#This Row],[reference]],listeMarchandises[],4,FALSE)</f>
        <v>9</v>
      </c>
      <c r="E470">
        <f>VLOOKUP(Table4[[#This Row],[reference]],listeMarchandises[],6,FALSE)</f>
        <v>173</v>
      </c>
      <c r="F470">
        <f>SUMIF(listeEntrées[Reference],Table4[[#This Row],[reference]],listeEntrées[Quantite])</f>
        <v>99</v>
      </c>
      <c r="G470">
        <f>SUMIF(listeSorties[Reference],Table4[[#This Row],[reference]],listeSorties[Quantite])</f>
        <v>36</v>
      </c>
      <c r="H470">
        <f>Table4[[#This Row],[stock initial]]+Table4[[#This Row],[entrees]]-Table4[[#This Row],[sorties]]</f>
        <v>236</v>
      </c>
      <c r="I470">
        <f>Table4[[#This Row],[stock final]]*(VLOOKUP(Table4[[#This Row],[reference]],listeMarchandises[],7,FALSE))</f>
        <v>314819055.80000001</v>
      </c>
      <c r="J470" t="str">
        <f>IF(Table4[[#This Row],[valeur]]&lt;=Table4[[#This Row],[seuil d''alerte]],"stock faible","stock normal")</f>
        <v>stock normal</v>
      </c>
    </row>
    <row r="471" spans="1:10" x14ac:dyDescent="0.25">
      <c r="A471" t="s">
        <v>951</v>
      </c>
      <c r="B471" t="str">
        <f>VLOOKUP(Table4[[#This Row],[reference]],listeMarchandises[],2,FALSE)</f>
        <v>Groupe 8kVA 106</v>
      </c>
      <c r="C471" t="str">
        <f>VLOOKUP(Table4[[#This Row],[reference]],listeMarchandises[],3,FALSE)</f>
        <v>Groupe electrogene</v>
      </c>
      <c r="D471">
        <f>VLOOKUP(Table4[[#This Row],[reference]],listeMarchandises[],4,FALSE)</f>
        <v>9</v>
      </c>
      <c r="E471">
        <f>VLOOKUP(Table4[[#This Row],[reference]],listeMarchandises[],6,FALSE)</f>
        <v>349</v>
      </c>
      <c r="F471">
        <f>SUMIF(listeEntrées[Reference],Table4[[#This Row],[reference]],listeEntrées[Quantite])</f>
        <v>342</v>
      </c>
      <c r="G471">
        <f>SUMIF(listeSorties[Reference],Table4[[#This Row],[reference]],listeSorties[Quantite])</f>
        <v>0</v>
      </c>
      <c r="H471">
        <f>Table4[[#This Row],[stock initial]]+Table4[[#This Row],[entrees]]-Table4[[#This Row],[sorties]]</f>
        <v>691</v>
      </c>
      <c r="I471">
        <f>Table4[[#This Row],[stock final]]*(VLOOKUP(Table4[[#This Row],[reference]],listeMarchandises[],7,FALSE))</f>
        <v>1366492985.6900001</v>
      </c>
      <c r="J471" t="str">
        <f>IF(Table4[[#This Row],[valeur]]&lt;=Table4[[#This Row],[seuil d''alerte]],"stock faible","stock normal")</f>
        <v>stock normal</v>
      </c>
    </row>
    <row r="472" spans="1:10" x14ac:dyDescent="0.25">
      <c r="A472" t="s">
        <v>953</v>
      </c>
      <c r="B472" t="str">
        <f>VLOOKUP(Table4[[#This Row],[reference]],listeMarchandises[],2,FALSE)</f>
        <v>Saxophone alto 125</v>
      </c>
      <c r="C472" t="str">
        <f>VLOOKUP(Table4[[#This Row],[reference]],listeMarchandises[],3,FALSE)</f>
        <v>Instrument de musique</v>
      </c>
      <c r="D472">
        <f>VLOOKUP(Table4[[#This Row],[reference]],listeMarchandises[],4,FALSE)</f>
        <v>24</v>
      </c>
      <c r="E472">
        <f>VLOOKUP(Table4[[#This Row],[reference]],listeMarchandises[],6,FALSE)</f>
        <v>306</v>
      </c>
      <c r="F472">
        <f>SUMIF(listeEntrées[Reference],Table4[[#This Row],[reference]],listeEntrées[Quantite])</f>
        <v>67</v>
      </c>
      <c r="G472">
        <f>SUMIF(listeSorties[Reference],Table4[[#This Row],[reference]],listeSorties[Quantite])</f>
        <v>133</v>
      </c>
      <c r="H472">
        <f>Table4[[#This Row],[stock initial]]+Table4[[#This Row],[entrees]]-Table4[[#This Row],[sorties]]</f>
        <v>240</v>
      </c>
      <c r="I472">
        <f>Table4[[#This Row],[stock final]]*(VLOOKUP(Table4[[#This Row],[reference]],listeMarchandises[],7,FALSE))</f>
        <v>434119394.40000004</v>
      </c>
      <c r="J472" t="str">
        <f>IF(Table4[[#This Row],[valeur]]&lt;=Table4[[#This Row],[seuil d''alerte]],"stock faible","stock normal")</f>
        <v>stock normal</v>
      </c>
    </row>
    <row r="473" spans="1:10" x14ac:dyDescent="0.25">
      <c r="A473" t="s">
        <v>955</v>
      </c>
      <c r="B473" t="str">
        <f>VLOOKUP(Table4[[#This Row],[reference]],listeMarchandises[],2,FALSE)</f>
        <v>Groupe silencieux 6kVA 107</v>
      </c>
      <c r="C473" t="str">
        <f>VLOOKUP(Table4[[#This Row],[reference]],listeMarchandises[],3,FALSE)</f>
        <v>Groupe electrogene</v>
      </c>
      <c r="D473">
        <f>VLOOKUP(Table4[[#This Row],[reference]],listeMarchandises[],4,FALSE)</f>
        <v>5</v>
      </c>
      <c r="E473">
        <f>VLOOKUP(Table4[[#This Row],[reference]],listeMarchandises[],6,FALSE)</f>
        <v>338</v>
      </c>
      <c r="F473">
        <f>SUMIF(listeEntrées[Reference],Table4[[#This Row],[reference]],listeEntrées[Quantite])</f>
        <v>103</v>
      </c>
      <c r="G473">
        <f>SUMIF(listeSorties[Reference],Table4[[#This Row],[reference]],listeSorties[Quantite])</f>
        <v>22</v>
      </c>
      <c r="H473">
        <f>Table4[[#This Row],[stock initial]]+Table4[[#This Row],[entrees]]-Table4[[#This Row],[sorties]]</f>
        <v>419</v>
      </c>
      <c r="I473">
        <f>Table4[[#This Row],[stock final]]*(VLOOKUP(Table4[[#This Row],[reference]],listeMarchandises[],7,FALSE))</f>
        <v>1222475288.28</v>
      </c>
      <c r="J473" t="str">
        <f>IF(Table4[[#This Row],[valeur]]&lt;=Table4[[#This Row],[seuil d''alerte]],"stock faible","stock normal")</f>
        <v>stock normal</v>
      </c>
    </row>
    <row r="474" spans="1:10" x14ac:dyDescent="0.25">
      <c r="A474" t="s">
        <v>957</v>
      </c>
      <c r="B474" t="str">
        <f>VLOOKUP(Table4[[#This Row],[reference]],listeMarchandises[],2,FALSE)</f>
        <v>Smartphone Nova 119</v>
      </c>
      <c r="C474" t="str">
        <f>VLOOKUP(Table4[[#This Row],[reference]],listeMarchandises[],3,FALSE)</f>
        <v>Smartphone</v>
      </c>
      <c r="D474">
        <f>VLOOKUP(Table4[[#This Row],[reference]],listeMarchandises[],4,FALSE)</f>
        <v>14</v>
      </c>
      <c r="E474">
        <f>VLOOKUP(Table4[[#This Row],[reference]],listeMarchandises[],6,FALSE)</f>
        <v>55</v>
      </c>
      <c r="F474">
        <f>SUMIF(listeEntrées[Reference],Table4[[#This Row],[reference]],listeEntrées[Quantite])</f>
        <v>0</v>
      </c>
      <c r="G474">
        <f>SUMIF(listeSorties[Reference],Table4[[#This Row],[reference]],listeSorties[Quantite])</f>
        <v>14</v>
      </c>
      <c r="H474">
        <f>Table4[[#This Row],[stock initial]]+Table4[[#This Row],[entrees]]-Table4[[#This Row],[sorties]]</f>
        <v>41</v>
      </c>
      <c r="I474">
        <f>Table4[[#This Row],[stock final]]*(VLOOKUP(Table4[[#This Row],[reference]],listeMarchandises[],7,FALSE))</f>
        <v>4339467.47</v>
      </c>
      <c r="J474" t="str">
        <f>IF(Table4[[#This Row],[valeur]]&lt;=Table4[[#This Row],[seuil d''alerte]],"stock faible","stock normal")</f>
        <v>stock normal</v>
      </c>
    </row>
    <row r="475" spans="1:10" x14ac:dyDescent="0.25">
      <c r="A475" t="s">
        <v>959</v>
      </c>
      <c r="B475" t="str">
        <f>VLOOKUP(Table4[[#This Row],[reference]],listeMarchandises[],2,FALSE)</f>
        <v>Groupe 12kVA 108</v>
      </c>
      <c r="C475" t="str">
        <f>VLOOKUP(Table4[[#This Row],[reference]],listeMarchandises[],3,FALSE)</f>
        <v>Groupe electrogene</v>
      </c>
      <c r="D475">
        <f>VLOOKUP(Table4[[#This Row],[reference]],listeMarchandises[],4,FALSE)</f>
        <v>25</v>
      </c>
      <c r="E475">
        <f>VLOOKUP(Table4[[#This Row],[reference]],listeMarchandises[],6,FALSE)</f>
        <v>349</v>
      </c>
      <c r="F475">
        <f>SUMIF(listeEntrées[Reference],Table4[[#This Row],[reference]],listeEntrées[Quantite])</f>
        <v>22</v>
      </c>
      <c r="G475">
        <f>SUMIF(listeSorties[Reference],Table4[[#This Row],[reference]],listeSorties[Quantite])</f>
        <v>114</v>
      </c>
      <c r="H475">
        <f>Table4[[#This Row],[stock initial]]+Table4[[#This Row],[entrees]]-Table4[[#This Row],[sorties]]</f>
        <v>257</v>
      </c>
      <c r="I475">
        <f>Table4[[#This Row],[stock final]]*(VLOOKUP(Table4[[#This Row],[reference]],listeMarchandises[],7,FALSE))</f>
        <v>838821385.08000004</v>
      </c>
      <c r="J475" t="str">
        <f>IF(Table4[[#This Row],[valeur]]&lt;=Table4[[#This Row],[seuil d''alerte]],"stock faible","stock normal")</f>
        <v>stock normal</v>
      </c>
    </row>
    <row r="476" spans="1:10" x14ac:dyDescent="0.25">
      <c r="A476" t="s">
        <v>961</v>
      </c>
      <c r="B476" t="str">
        <f>VLOOKUP(Table4[[#This Row],[reference]],listeMarchandises[],2,FALSE)</f>
        <v>Violon etude 126</v>
      </c>
      <c r="C476" t="str">
        <f>VLOOKUP(Table4[[#This Row],[reference]],listeMarchandises[],3,FALSE)</f>
        <v>Instrument de musique</v>
      </c>
      <c r="D476">
        <f>VLOOKUP(Table4[[#This Row],[reference]],listeMarchandises[],4,FALSE)</f>
        <v>8</v>
      </c>
      <c r="E476">
        <f>VLOOKUP(Table4[[#This Row],[reference]],listeMarchandises[],6,FALSE)</f>
        <v>45</v>
      </c>
      <c r="F476">
        <f>SUMIF(listeEntrées[Reference],Table4[[#This Row],[reference]],listeEntrées[Quantite])</f>
        <v>11</v>
      </c>
      <c r="G476">
        <f>SUMIF(listeSorties[Reference],Table4[[#This Row],[reference]],listeSorties[Quantite])</f>
        <v>31</v>
      </c>
      <c r="H476">
        <f>Table4[[#This Row],[stock initial]]+Table4[[#This Row],[entrees]]-Table4[[#This Row],[sorties]]</f>
        <v>25</v>
      </c>
      <c r="I476">
        <f>Table4[[#This Row],[stock final]]*(VLOOKUP(Table4[[#This Row],[reference]],listeMarchandises[],7,FALSE))</f>
        <v>33953938.75</v>
      </c>
      <c r="J476" t="str">
        <f>IF(Table4[[#This Row],[valeur]]&lt;=Table4[[#This Row],[seuil d''alerte]],"stock faible","stock normal")</f>
        <v>stock normal</v>
      </c>
    </row>
    <row r="477" spans="1:10" x14ac:dyDescent="0.25">
      <c r="A477" t="s">
        <v>963</v>
      </c>
      <c r="B477" t="str">
        <f>VLOOKUP(Table4[[#This Row],[reference]],listeMarchandises[],2,FALSE)</f>
        <v>Groupe silencieux 6kVA 109</v>
      </c>
      <c r="C477" t="str">
        <f>VLOOKUP(Table4[[#This Row],[reference]],listeMarchandises[],3,FALSE)</f>
        <v>Groupe electrogene</v>
      </c>
      <c r="D477">
        <f>VLOOKUP(Table4[[#This Row],[reference]],listeMarchandises[],4,FALSE)</f>
        <v>19</v>
      </c>
      <c r="E477">
        <f>VLOOKUP(Table4[[#This Row],[reference]],listeMarchandises[],6,FALSE)</f>
        <v>27</v>
      </c>
      <c r="F477">
        <f>SUMIF(listeEntrées[Reference],Table4[[#This Row],[reference]],listeEntrées[Quantite])</f>
        <v>16</v>
      </c>
      <c r="G477">
        <f>SUMIF(listeSorties[Reference],Table4[[#This Row],[reference]],listeSorties[Quantite])</f>
        <v>25</v>
      </c>
      <c r="H477">
        <f>Table4[[#This Row],[stock initial]]+Table4[[#This Row],[entrees]]-Table4[[#This Row],[sorties]]</f>
        <v>18</v>
      </c>
      <c r="I477">
        <f>Table4[[#This Row],[stock final]]*(VLOOKUP(Table4[[#This Row],[reference]],listeMarchandises[],7,FALSE))</f>
        <v>47560365.359999999</v>
      </c>
      <c r="J477" t="str">
        <f>IF(Table4[[#This Row],[valeur]]&lt;=Table4[[#This Row],[seuil d''alerte]],"stock faible","stock normal")</f>
        <v>stock normal</v>
      </c>
    </row>
    <row r="478" spans="1:10" x14ac:dyDescent="0.25">
      <c r="A478" t="s">
        <v>965</v>
      </c>
      <c r="B478" t="str">
        <f>VLOOKUP(Table4[[#This Row],[reference]],listeMarchandises[],2,FALSE)</f>
        <v>Smartphone Nova 120</v>
      </c>
      <c r="C478" t="str">
        <f>VLOOKUP(Table4[[#This Row],[reference]],listeMarchandises[],3,FALSE)</f>
        <v>Smartphone</v>
      </c>
      <c r="D478">
        <f>VLOOKUP(Table4[[#This Row],[reference]],listeMarchandises[],4,FALSE)</f>
        <v>25</v>
      </c>
      <c r="E478">
        <f>VLOOKUP(Table4[[#This Row],[reference]],listeMarchandises[],6,FALSE)</f>
        <v>82</v>
      </c>
      <c r="F478">
        <f>SUMIF(listeEntrées[Reference],Table4[[#This Row],[reference]],listeEntrées[Quantite])</f>
        <v>174</v>
      </c>
      <c r="G478">
        <f>SUMIF(listeSorties[Reference],Table4[[#This Row],[reference]],listeSorties[Quantite])</f>
        <v>7</v>
      </c>
      <c r="H478">
        <f>Table4[[#This Row],[stock initial]]+Table4[[#This Row],[entrees]]-Table4[[#This Row],[sorties]]</f>
        <v>249</v>
      </c>
      <c r="I478">
        <f>Table4[[#This Row],[stock final]]*(VLOOKUP(Table4[[#This Row],[reference]],listeMarchandises[],7,FALSE))</f>
        <v>190626511.67999998</v>
      </c>
      <c r="J478" t="str">
        <f>IF(Table4[[#This Row],[valeur]]&lt;=Table4[[#This Row],[seuil d''alerte]],"stock faible","stock normal")</f>
        <v>stock normal</v>
      </c>
    </row>
    <row r="479" spans="1:10" x14ac:dyDescent="0.25">
      <c r="A479" t="s">
        <v>967</v>
      </c>
      <c r="B479" t="str">
        <f>VLOOKUP(Table4[[#This Row],[reference]],listeMarchandises[],2,FALSE)</f>
        <v>Batterie electronique 127</v>
      </c>
      <c r="C479" t="str">
        <f>VLOOKUP(Table4[[#This Row],[reference]],listeMarchandises[],3,FALSE)</f>
        <v>Instrument de musique</v>
      </c>
      <c r="D479">
        <f>VLOOKUP(Table4[[#This Row],[reference]],listeMarchandises[],4,FALSE)</f>
        <v>15</v>
      </c>
      <c r="E479">
        <f>VLOOKUP(Table4[[#This Row],[reference]],listeMarchandises[],6,FALSE)</f>
        <v>188</v>
      </c>
      <c r="F479">
        <f>SUMIF(listeEntrées[Reference],Table4[[#This Row],[reference]],listeEntrées[Quantite])</f>
        <v>110</v>
      </c>
      <c r="G479">
        <f>SUMIF(listeSorties[Reference],Table4[[#This Row],[reference]],listeSorties[Quantite])</f>
        <v>76</v>
      </c>
      <c r="H479">
        <f>Table4[[#This Row],[stock initial]]+Table4[[#This Row],[entrees]]-Table4[[#This Row],[sorties]]</f>
        <v>222</v>
      </c>
      <c r="I479">
        <f>Table4[[#This Row],[stock final]]*(VLOOKUP(Table4[[#This Row],[reference]],listeMarchandises[],7,FALSE))</f>
        <v>34274744.280000001</v>
      </c>
      <c r="J479" t="str">
        <f>IF(Table4[[#This Row],[valeur]]&lt;=Table4[[#This Row],[seuil d''alerte]],"stock faible","stock normal")</f>
        <v>stock normal</v>
      </c>
    </row>
    <row r="480" spans="1:10" x14ac:dyDescent="0.25">
      <c r="A480" t="s">
        <v>969</v>
      </c>
      <c r="B480" t="str">
        <f>VLOOKUP(Table4[[#This Row],[reference]],listeMarchandises[],2,FALSE)</f>
        <v>Smartphone Prime 121</v>
      </c>
      <c r="C480" t="str">
        <f>VLOOKUP(Table4[[#This Row],[reference]],listeMarchandises[],3,FALSE)</f>
        <v>Smartphone</v>
      </c>
      <c r="D480">
        <f>VLOOKUP(Table4[[#This Row],[reference]],listeMarchandises[],4,FALSE)</f>
        <v>17</v>
      </c>
      <c r="E480">
        <f>VLOOKUP(Table4[[#This Row],[reference]],listeMarchandises[],6,FALSE)</f>
        <v>145</v>
      </c>
      <c r="F480">
        <f>SUMIF(listeEntrées[Reference],Table4[[#This Row],[reference]],listeEntrées[Quantite])</f>
        <v>0</v>
      </c>
      <c r="G480">
        <f>SUMIF(listeSorties[Reference],Table4[[#This Row],[reference]],listeSorties[Quantite])</f>
        <v>35</v>
      </c>
      <c r="H480">
        <f>Table4[[#This Row],[stock initial]]+Table4[[#This Row],[entrees]]-Table4[[#This Row],[sorties]]</f>
        <v>110</v>
      </c>
      <c r="I480">
        <f>Table4[[#This Row],[stock final]]*(VLOOKUP(Table4[[#This Row],[reference]],listeMarchandises[],7,FALSE))</f>
        <v>85635726</v>
      </c>
      <c r="J480" t="str">
        <f>IF(Table4[[#This Row],[valeur]]&lt;=Table4[[#This Row],[seuil d''alerte]],"stock faible","stock normal")</f>
        <v>stock normal</v>
      </c>
    </row>
    <row r="481" spans="1:10" x14ac:dyDescent="0.25">
      <c r="A481" t="s">
        <v>971</v>
      </c>
      <c r="B481" t="str">
        <f>VLOOKUP(Table4[[#This Row],[reference]],listeMarchandises[],2,FALSE)</f>
        <v>Mixeur 123</v>
      </c>
      <c r="C481" t="str">
        <f>VLOOKUP(Table4[[#This Row],[reference]],listeMarchandises[],3,FALSE)</f>
        <v>Electromenager</v>
      </c>
      <c r="D481">
        <f>VLOOKUP(Table4[[#This Row],[reference]],listeMarchandises[],4,FALSE)</f>
        <v>18</v>
      </c>
      <c r="E481">
        <f>VLOOKUP(Table4[[#This Row],[reference]],listeMarchandises[],6,FALSE)</f>
        <v>229</v>
      </c>
      <c r="F481">
        <f>SUMIF(listeEntrées[Reference],Table4[[#This Row],[reference]],listeEntrées[Quantite])</f>
        <v>0</v>
      </c>
      <c r="G481">
        <f>SUMIF(listeSorties[Reference],Table4[[#This Row],[reference]],listeSorties[Quantite])</f>
        <v>79</v>
      </c>
      <c r="H481">
        <f>Table4[[#This Row],[stock initial]]+Table4[[#This Row],[entrees]]-Table4[[#This Row],[sorties]]</f>
        <v>150</v>
      </c>
      <c r="I481">
        <f>Table4[[#This Row],[stock final]]*(VLOOKUP(Table4[[#This Row],[reference]],listeMarchandises[],7,FALSE))</f>
        <v>112057308</v>
      </c>
      <c r="J481" t="str">
        <f>IF(Table4[[#This Row],[valeur]]&lt;=Table4[[#This Row],[seuil d''alerte]],"stock faible","stock normal")</f>
        <v>stock normal</v>
      </c>
    </row>
    <row r="482" spans="1:10" x14ac:dyDescent="0.25">
      <c r="A482" t="s">
        <v>973</v>
      </c>
      <c r="B482" t="str">
        <f>VLOOKUP(Table4[[#This Row],[reference]],listeMarchandises[],2,FALSE)</f>
        <v>Aspirateur 124</v>
      </c>
      <c r="C482" t="str">
        <f>VLOOKUP(Table4[[#This Row],[reference]],listeMarchandises[],3,FALSE)</f>
        <v>Electromenager</v>
      </c>
      <c r="D482">
        <f>VLOOKUP(Table4[[#This Row],[reference]],listeMarchandises[],4,FALSE)</f>
        <v>7</v>
      </c>
      <c r="E482">
        <f>VLOOKUP(Table4[[#This Row],[reference]],listeMarchandises[],6,FALSE)</f>
        <v>80</v>
      </c>
      <c r="F482">
        <f>SUMIF(listeEntrées[Reference],Table4[[#This Row],[reference]],listeEntrées[Quantite])</f>
        <v>108</v>
      </c>
      <c r="G482">
        <f>SUMIF(listeSorties[Reference],Table4[[#This Row],[reference]],listeSorties[Quantite])</f>
        <v>0</v>
      </c>
      <c r="H482">
        <f>Table4[[#This Row],[stock initial]]+Table4[[#This Row],[entrees]]-Table4[[#This Row],[sorties]]</f>
        <v>188</v>
      </c>
      <c r="I482">
        <f>Table4[[#This Row],[stock final]]*(VLOOKUP(Table4[[#This Row],[reference]],listeMarchandises[],7,FALSE))</f>
        <v>15924389.6</v>
      </c>
      <c r="J482" t="str">
        <f>IF(Table4[[#This Row],[valeur]]&lt;=Table4[[#This Row],[seuil d''alerte]],"stock faible","stock normal")</f>
        <v>stock normal</v>
      </c>
    </row>
    <row r="483" spans="1:10" x14ac:dyDescent="0.25">
      <c r="A483" t="s">
        <v>975</v>
      </c>
      <c r="B483" t="str">
        <f>VLOOKUP(Table4[[#This Row],[reference]],listeMarchandises[],2,FALSE)</f>
        <v>Smartphone Nova 122</v>
      </c>
      <c r="C483" t="str">
        <f>VLOOKUP(Table4[[#This Row],[reference]],listeMarchandises[],3,FALSE)</f>
        <v>Smartphone</v>
      </c>
      <c r="D483">
        <f>VLOOKUP(Table4[[#This Row],[reference]],listeMarchandises[],4,FALSE)</f>
        <v>11</v>
      </c>
      <c r="E483">
        <f>VLOOKUP(Table4[[#This Row],[reference]],listeMarchandises[],6,FALSE)</f>
        <v>106</v>
      </c>
      <c r="F483">
        <f>SUMIF(listeEntrées[Reference],Table4[[#This Row],[reference]],listeEntrées[Quantite])</f>
        <v>166</v>
      </c>
      <c r="G483">
        <f>SUMIF(listeSorties[Reference],Table4[[#This Row],[reference]],listeSorties[Quantite])</f>
        <v>36</v>
      </c>
      <c r="H483">
        <f>Table4[[#This Row],[stock initial]]+Table4[[#This Row],[entrees]]-Table4[[#This Row],[sorties]]</f>
        <v>236</v>
      </c>
      <c r="I483">
        <f>Table4[[#This Row],[stock final]]*(VLOOKUP(Table4[[#This Row],[reference]],listeMarchandises[],7,FALSE))</f>
        <v>157565234.80000001</v>
      </c>
      <c r="J483" t="str">
        <f>IF(Table4[[#This Row],[valeur]]&lt;=Table4[[#This Row],[seuil d''alerte]],"stock faible","stock normal")</f>
        <v>stock normal</v>
      </c>
    </row>
    <row r="484" spans="1:10" x14ac:dyDescent="0.25">
      <c r="A484" t="s">
        <v>977</v>
      </c>
      <c r="B484" t="str">
        <f>VLOOKUP(Table4[[#This Row],[reference]],listeMarchandises[],2,FALSE)</f>
        <v>Guitare acoustique 128</v>
      </c>
      <c r="C484" t="str">
        <f>VLOOKUP(Table4[[#This Row],[reference]],listeMarchandises[],3,FALSE)</f>
        <v>Instrument de musique</v>
      </c>
      <c r="D484">
        <f>VLOOKUP(Table4[[#This Row],[reference]],listeMarchandises[],4,FALSE)</f>
        <v>23</v>
      </c>
      <c r="E484">
        <f>VLOOKUP(Table4[[#This Row],[reference]],listeMarchandises[],6,FALSE)</f>
        <v>133</v>
      </c>
      <c r="F484">
        <f>SUMIF(listeEntrées[Reference],Table4[[#This Row],[reference]],listeEntrées[Quantite])</f>
        <v>46</v>
      </c>
      <c r="G484">
        <f>SUMIF(listeSorties[Reference],Table4[[#This Row],[reference]],listeSorties[Quantite])</f>
        <v>16</v>
      </c>
      <c r="H484">
        <f>Table4[[#This Row],[stock initial]]+Table4[[#This Row],[entrees]]-Table4[[#This Row],[sorties]]</f>
        <v>163</v>
      </c>
      <c r="I484">
        <f>Table4[[#This Row],[stock final]]*(VLOOKUP(Table4[[#This Row],[reference]],listeMarchandises[],7,FALSE))</f>
        <v>36947764.199999996</v>
      </c>
      <c r="J484" t="str">
        <f>IF(Table4[[#This Row],[valeur]]&lt;=Table4[[#This Row],[seuil d''alerte]],"stock faible","stock normal")</f>
        <v>stock normal</v>
      </c>
    </row>
    <row r="485" spans="1:10" x14ac:dyDescent="0.25">
      <c r="A485" t="s">
        <v>979</v>
      </c>
      <c r="B485" t="str">
        <f>VLOOKUP(Table4[[#This Row],[reference]],listeMarchandises[],2,FALSE)</f>
        <v>Refrigerateur 125</v>
      </c>
      <c r="C485" t="str">
        <f>VLOOKUP(Table4[[#This Row],[reference]],listeMarchandises[],3,FALSE)</f>
        <v>Electromenager</v>
      </c>
      <c r="D485">
        <f>VLOOKUP(Table4[[#This Row],[reference]],listeMarchandises[],4,FALSE)</f>
        <v>21</v>
      </c>
      <c r="E485">
        <f>VLOOKUP(Table4[[#This Row],[reference]],listeMarchandises[],6,FALSE)</f>
        <v>56</v>
      </c>
      <c r="F485">
        <f>SUMIF(listeEntrées[Reference],Table4[[#This Row],[reference]],listeEntrées[Quantite])</f>
        <v>47</v>
      </c>
      <c r="G485">
        <f>SUMIF(listeSorties[Reference],Table4[[#This Row],[reference]],listeSorties[Quantite])</f>
        <v>233</v>
      </c>
      <c r="H485">
        <f>Table4[[#This Row],[stock initial]]+Table4[[#This Row],[entrees]]-Table4[[#This Row],[sorties]]</f>
        <v>-130</v>
      </c>
      <c r="I485">
        <f>Table4[[#This Row],[stock final]]*(VLOOKUP(Table4[[#This Row],[reference]],listeMarchandises[],7,FALSE))</f>
        <v>-95624057.100000009</v>
      </c>
      <c r="J485" t="str">
        <f>IF(Table4[[#This Row],[valeur]]&lt;=Table4[[#This Row],[seuil d''alerte]],"stock faible","stock normal")</f>
        <v>stock faible</v>
      </c>
    </row>
    <row r="486" spans="1:10" x14ac:dyDescent="0.25">
      <c r="A486" t="s">
        <v>981</v>
      </c>
      <c r="B486" t="str">
        <f>VLOOKUP(Table4[[#This Row],[reference]],listeMarchandises[],2,FALSE)</f>
        <v>Climatiseur 126</v>
      </c>
      <c r="C486" t="str">
        <f>VLOOKUP(Table4[[#This Row],[reference]],listeMarchandises[],3,FALSE)</f>
        <v>Electromenager</v>
      </c>
      <c r="D486">
        <f>VLOOKUP(Table4[[#This Row],[reference]],listeMarchandises[],4,FALSE)</f>
        <v>11</v>
      </c>
      <c r="E486">
        <f>VLOOKUP(Table4[[#This Row],[reference]],listeMarchandises[],6,FALSE)</f>
        <v>269</v>
      </c>
      <c r="F486">
        <f>SUMIF(listeEntrées[Reference],Table4[[#This Row],[reference]],listeEntrées[Quantite])</f>
        <v>104</v>
      </c>
      <c r="G486">
        <f>SUMIF(listeSorties[Reference],Table4[[#This Row],[reference]],listeSorties[Quantite])</f>
        <v>21</v>
      </c>
      <c r="H486">
        <f>Table4[[#This Row],[stock initial]]+Table4[[#This Row],[entrees]]-Table4[[#This Row],[sorties]]</f>
        <v>352</v>
      </c>
      <c r="I486">
        <f>Table4[[#This Row],[stock final]]*(VLOOKUP(Table4[[#This Row],[reference]],listeMarchandises[],7,FALSE))</f>
        <v>227994384.63999999</v>
      </c>
      <c r="J486" t="str">
        <f>IF(Table4[[#This Row],[valeur]]&lt;=Table4[[#This Row],[seuil d''alerte]],"stock faible","stock normal")</f>
        <v>stock normal</v>
      </c>
    </row>
    <row r="487" spans="1:10" x14ac:dyDescent="0.25">
      <c r="A487" t="s">
        <v>983</v>
      </c>
      <c r="B487" t="str">
        <f>VLOOKUP(Table4[[#This Row],[reference]],listeMarchandises[],2,FALSE)</f>
        <v>Smartphone Ultra 123</v>
      </c>
      <c r="C487" t="str">
        <f>VLOOKUP(Table4[[#This Row],[reference]],listeMarchandises[],3,FALSE)</f>
        <v>Smartphone</v>
      </c>
      <c r="D487">
        <f>VLOOKUP(Table4[[#This Row],[reference]],listeMarchandises[],4,FALSE)</f>
        <v>6</v>
      </c>
      <c r="E487">
        <f>VLOOKUP(Table4[[#This Row],[reference]],listeMarchandises[],6,FALSE)</f>
        <v>130</v>
      </c>
      <c r="F487">
        <f>SUMIF(listeEntrées[Reference],Table4[[#This Row],[reference]],listeEntrées[Quantite])</f>
        <v>201</v>
      </c>
      <c r="G487">
        <f>SUMIF(listeSorties[Reference],Table4[[#This Row],[reference]],listeSorties[Quantite])</f>
        <v>24</v>
      </c>
      <c r="H487">
        <f>Table4[[#This Row],[stock initial]]+Table4[[#This Row],[entrees]]-Table4[[#This Row],[sorties]]</f>
        <v>307</v>
      </c>
      <c r="I487">
        <f>Table4[[#This Row],[stock final]]*(VLOOKUP(Table4[[#This Row],[reference]],listeMarchandises[],7,FALSE))</f>
        <v>292686398.23000002</v>
      </c>
      <c r="J487" t="str">
        <f>IF(Table4[[#This Row],[valeur]]&lt;=Table4[[#This Row],[seuil d''alerte]],"stock faible","stock normal")</f>
        <v>stock normal</v>
      </c>
    </row>
    <row r="488" spans="1:10" x14ac:dyDescent="0.25">
      <c r="A488" t="s">
        <v>985</v>
      </c>
      <c r="B488" t="str">
        <f>VLOOKUP(Table4[[#This Row],[reference]],listeMarchandises[],2,FALSE)</f>
        <v>Groupe 8kVA 110</v>
      </c>
      <c r="C488" t="str">
        <f>VLOOKUP(Table4[[#This Row],[reference]],listeMarchandises[],3,FALSE)</f>
        <v>Groupe electrogene</v>
      </c>
      <c r="D488">
        <f>VLOOKUP(Table4[[#This Row],[reference]],listeMarchandises[],4,FALSE)</f>
        <v>3</v>
      </c>
      <c r="E488">
        <f>VLOOKUP(Table4[[#This Row],[reference]],listeMarchandises[],6,FALSE)</f>
        <v>189</v>
      </c>
      <c r="F488">
        <f>SUMIF(listeEntrées[Reference],Table4[[#This Row],[reference]],listeEntrées[Quantite])</f>
        <v>231</v>
      </c>
      <c r="G488">
        <f>SUMIF(listeSorties[Reference],Table4[[#This Row],[reference]],listeSorties[Quantite])</f>
        <v>62</v>
      </c>
      <c r="H488">
        <f>Table4[[#This Row],[stock initial]]+Table4[[#This Row],[entrees]]-Table4[[#This Row],[sorties]]</f>
        <v>358</v>
      </c>
      <c r="I488">
        <f>Table4[[#This Row],[stock final]]*(VLOOKUP(Table4[[#This Row],[reference]],listeMarchandises[],7,FALSE))</f>
        <v>298043362.88</v>
      </c>
      <c r="J488" t="str">
        <f>IF(Table4[[#This Row],[valeur]]&lt;=Table4[[#This Row],[seuil d''alerte]],"stock faible","stock normal")</f>
        <v>stock normal</v>
      </c>
    </row>
    <row r="489" spans="1:10" x14ac:dyDescent="0.25">
      <c r="A489" t="s">
        <v>987</v>
      </c>
      <c r="B489" t="str">
        <f>VLOOKUP(Table4[[#This Row],[reference]],listeMarchandises[],2,FALSE)</f>
        <v>Lave-linge 127</v>
      </c>
      <c r="C489" t="str">
        <f>VLOOKUP(Table4[[#This Row],[reference]],listeMarchandises[],3,FALSE)</f>
        <v>Electromenager</v>
      </c>
      <c r="D489">
        <f>VLOOKUP(Table4[[#This Row],[reference]],listeMarchandises[],4,FALSE)</f>
        <v>6</v>
      </c>
      <c r="E489">
        <f>VLOOKUP(Table4[[#This Row],[reference]],listeMarchandises[],6,FALSE)</f>
        <v>342</v>
      </c>
      <c r="F489">
        <f>SUMIF(listeEntrées[Reference],Table4[[#This Row],[reference]],listeEntrées[Quantite])</f>
        <v>0</v>
      </c>
      <c r="G489">
        <f>SUMIF(listeSorties[Reference],Table4[[#This Row],[reference]],listeSorties[Quantite])</f>
        <v>37</v>
      </c>
      <c r="H489">
        <f>Table4[[#This Row],[stock initial]]+Table4[[#This Row],[entrees]]-Table4[[#This Row],[sorties]]</f>
        <v>305</v>
      </c>
      <c r="I489">
        <f>Table4[[#This Row],[stock final]]*(VLOOKUP(Table4[[#This Row],[reference]],listeMarchandises[],7,FALSE))</f>
        <v>223630910.5</v>
      </c>
      <c r="J489" t="str">
        <f>IF(Table4[[#This Row],[valeur]]&lt;=Table4[[#This Row],[seuil d''alerte]],"stock faible","stock normal")</f>
        <v>stock normal</v>
      </c>
    </row>
    <row r="490" spans="1:10" x14ac:dyDescent="0.25">
      <c r="A490" t="s">
        <v>989</v>
      </c>
      <c r="B490" t="str">
        <f>VLOOKUP(Table4[[#This Row],[reference]],listeMarchandises[],2,FALSE)</f>
        <v>Congelateur 128</v>
      </c>
      <c r="C490" t="str">
        <f>VLOOKUP(Table4[[#This Row],[reference]],listeMarchandises[],3,FALSE)</f>
        <v>Electromenager</v>
      </c>
      <c r="D490">
        <f>VLOOKUP(Table4[[#This Row],[reference]],listeMarchandises[],4,FALSE)</f>
        <v>7</v>
      </c>
      <c r="E490">
        <f>VLOOKUP(Table4[[#This Row],[reference]],listeMarchandises[],6,FALSE)</f>
        <v>109</v>
      </c>
      <c r="F490">
        <f>SUMIF(listeEntrées[Reference],Table4[[#This Row],[reference]],listeEntrées[Quantite])</f>
        <v>101</v>
      </c>
      <c r="G490">
        <f>SUMIF(listeSorties[Reference],Table4[[#This Row],[reference]],listeSorties[Quantite])</f>
        <v>80</v>
      </c>
      <c r="H490">
        <f>Table4[[#This Row],[stock initial]]+Table4[[#This Row],[entrees]]-Table4[[#This Row],[sorties]]</f>
        <v>130</v>
      </c>
      <c r="I490">
        <f>Table4[[#This Row],[stock final]]*(VLOOKUP(Table4[[#This Row],[reference]],listeMarchandises[],7,FALSE))</f>
        <v>142485278</v>
      </c>
      <c r="J490" t="str">
        <f>IF(Table4[[#This Row],[valeur]]&lt;=Table4[[#This Row],[seuil d''alerte]],"stock faible","stock normal")</f>
        <v>stock normal</v>
      </c>
    </row>
    <row r="491" spans="1:10" x14ac:dyDescent="0.25">
      <c r="A491" t="s">
        <v>991</v>
      </c>
      <c r="B491" t="str">
        <f>VLOOKUP(Table4[[#This Row],[reference]],listeMarchandises[],2,FALSE)</f>
        <v>Smartphone Alpha 124</v>
      </c>
      <c r="C491" t="str">
        <f>VLOOKUP(Table4[[#This Row],[reference]],listeMarchandises[],3,FALSE)</f>
        <v>Smartphone</v>
      </c>
      <c r="D491">
        <f>VLOOKUP(Table4[[#This Row],[reference]],listeMarchandises[],4,FALSE)</f>
        <v>22</v>
      </c>
      <c r="E491">
        <f>VLOOKUP(Table4[[#This Row],[reference]],listeMarchandises[],6,FALSE)</f>
        <v>27</v>
      </c>
      <c r="F491">
        <f>SUMIF(listeEntrées[Reference],Table4[[#This Row],[reference]],listeEntrées[Quantite])</f>
        <v>96</v>
      </c>
      <c r="G491">
        <f>SUMIF(listeSorties[Reference],Table4[[#This Row],[reference]],listeSorties[Quantite])</f>
        <v>60</v>
      </c>
      <c r="H491">
        <f>Table4[[#This Row],[stock initial]]+Table4[[#This Row],[entrees]]-Table4[[#This Row],[sorties]]</f>
        <v>63</v>
      </c>
      <c r="I491">
        <f>Table4[[#This Row],[stock final]]*(VLOOKUP(Table4[[#This Row],[reference]],listeMarchandises[],7,FALSE))</f>
        <v>6372773.8200000003</v>
      </c>
      <c r="J491" t="str">
        <f>IF(Table4[[#This Row],[valeur]]&lt;=Table4[[#This Row],[seuil d''alerte]],"stock faible","stock normal")</f>
        <v>stock normal</v>
      </c>
    </row>
    <row r="492" spans="1:10" x14ac:dyDescent="0.25">
      <c r="A492" t="s">
        <v>993</v>
      </c>
      <c r="B492" t="str">
        <f>VLOOKUP(Table4[[#This Row],[reference]],listeMarchandises[],2,FALSE)</f>
        <v>Groupe 8kVA 111</v>
      </c>
      <c r="C492" t="str">
        <f>VLOOKUP(Table4[[#This Row],[reference]],listeMarchandises[],3,FALSE)</f>
        <v>Groupe electrogene</v>
      </c>
      <c r="D492">
        <f>VLOOKUP(Table4[[#This Row],[reference]],listeMarchandises[],4,FALSE)</f>
        <v>15</v>
      </c>
      <c r="E492">
        <f>VLOOKUP(Table4[[#This Row],[reference]],listeMarchandises[],6,FALSE)</f>
        <v>285</v>
      </c>
      <c r="F492">
        <f>SUMIF(listeEntrées[Reference],Table4[[#This Row],[reference]],listeEntrées[Quantite])</f>
        <v>76</v>
      </c>
      <c r="G492">
        <f>SUMIF(listeSorties[Reference],Table4[[#This Row],[reference]],listeSorties[Quantite])</f>
        <v>0</v>
      </c>
      <c r="H492">
        <f>Table4[[#This Row],[stock initial]]+Table4[[#This Row],[entrees]]-Table4[[#This Row],[sorties]]</f>
        <v>361</v>
      </c>
      <c r="I492">
        <f>Table4[[#This Row],[stock final]]*(VLOOKUP(Table4[[#This Row],[reference]],listeMarchandises[],7,FALSE))</f>
        <v>411771252.99000001</v>
      </c>
      <c r="J492" t="str">
        <f>IF(Table4[[#This Row],[valeur]]&lt;=Table4[[#This Row],[seuil d''alerte]],"stock faible","stock normal")</f>
        <v>stock normal</v>
      </c>
    </row>
    <row r="493" spans="1:10" x14ac:dyDescent="0.25">
      <c r="A493" t="s">
        <v>995</v>
      </c>
      <c r="B493" t="str">
        <f>VLOOKUP(Table4[[#This Row],[reference]],listeMarchandises[],2,FALSE)</f>
        <v>Saxophone alto 129</v>
      </c>
      <c r="C493" t="str">
        <f>VLOOKUP(Table4[[#This Row],[reference]],listeMarchandises[],3,FALSE)</f>
        <v>Instrument de musique</v>
      </c>
      <c r="D493">
        <f>VLOOKUP(Table4[[#This Row],[reference]],listeMarchandises[],4,FALSE)</f>
        <v>7</v>
      </c>
      <c r="E493">
        <f>VLOOKUP(Table4[[#This Row],[reference]],listeMarchandises[],6,FALSE)</f>
        <v>104</v>
      </c>
      <c r="F493">
        <f>SUMIF(listeEntrées[Reference],Table4[[#This Row],[reference]],listeEntrées[Quantite])</f>
        <v>19</v>
      </c>
      <c r="G493">
        <f>SUMIF(listeSorties[Reference],Table4[[#This Row],[reference]],listeSorties[Quantite])</f>
        <v>152</v>
      </c>
      <c r="H493">
        <f>Table4[[#This Row],[stock initial]]+Table4[[#This Row],[entrees]]-Table4[[#This Row],[sorties]]</f>
        <v>-29</v>
      </c>
      <c r="I493">
        <f>Table4[[#This Row],[stock final]]*(VLOOKUP(Table4[[#This Row],[reference]],listeMarchandises[],7,FALSE))</f>
        <v>-18862992.580000002</v>
      </c>
      <c r="J493" t="str">
        <f>IF(Table4[[#This Row],[valeur]]&lt;=Table4[[#This Row],[seuil d''alerte]],"stock faible","stock normal")</f>
        <v>stock faible</v>
      </c>
    </row>
    <row r="494" spans="1:10" x14ac:dyDescent="0.25">
      <c r="A494" t="s">
        <v>997</v>
      </c>
      <c r="B494" t="str">
        <f>VLOOKUP(Table4[[#This Row],[reference]],listeMarchandises[],2,FALSE)</f>
        <v>Smartphone Prime 125</v>
      </c>
      <c r="C494" t="str">
        <f>VLOOKUP(Table4[[#This Row],[reference]],listeMarchandises[],3,FALSE)</f>
        <v>Smartphone</v>
      </c>
      <c r="D494">
        <f>VLOOKUP(Table4[[#This Row],[reference]],listeMarchandises[],4,FALSE)</f>
        <v>10</v>
      </c>
      <c r="E494">
        <f>VLOOKUP(Table4[[#This Row],[reference]],listeMarchandises[],6,FALSE)</f>
        <v>64</v>
      </c>
      <c r="F494">
        <f>SUMIF(listeEntrées[Reference],Table4[[#This Row],[reference]],listeEntrées[Quantite])</f>
        <v>0</v>
      </c>
      <c r="G494">
        <f>SUMIF(listeSorties[Reference],Table4[[#This Row],[reference]],listeSorties[Quantite])</f>
        <v>116</v>
      </c>
      <c r="H494">
        <f>Table4[[#This Row],[stock initial]]+Table4[[#This Row],[entrees]]-Table4[[#This Row],[sorties]]</f>
        <v>-52</v>
      </c>
      <c r="I494">
        <f>Table4[[#This Row],[stock final]]*(VLOOKUP(Table4[[#This Row],[reference]],listeMarchandises[],7,FALSE))</f>
        <v>-26545202.84</v>
      </c>
      <c r="J494" t="str">
        <f>IF(Table4[[#This Row],[valeur]]&lt;=Table4[[#This Row],[seuil d''alerte]],"stock faible","stock normal")</f>
        <v>stock faible</v>
      </c>
    </row>
    <row r="495" spans="1:10" x14ac:dyDescent="0.25">
      <c r="A495" t="s">
        <v>999</v>
      </c>
      <c r="B495" t="str">
        <f>VLOOKUP(Table4[[#This Row],[reference]],listeMarchandises[],2,FALSE)</f>
        <v>Groupe silencieux 6kVA 112</v>
      </c>
      <c r="C495" t="str">
        <f>VLOOKUP(Table4[[#This Row],[reference]],listeMarchandises[],3,FALSE)</f>
        <v>Groupe electrogene</v>
      </c>
      <c r="D495">
        <f>VLOOKUP(Table4[[#This Row],[reference]],listeMarchandises[],4,FALSE)</f>
        <v>9</v>
      </c>
      <c r="E495">
        <f>VLOOKUP(Table4[[#This Row],[reference]],listeMarchandises[],6,FALSE)</f>
        <v>195</v>
      </c>
      <c r="F495">
        <f>SUMIF(listeEntrées[Reference],Table4[[#This Row],[reference]],listeEntrées[Quantite])</f>
        <v>184</v>
      </c>
      <c r="G495">
        <f>SUMIF(listeSorties[Reference],Table4[[#This Row],[reference]],listeSorties[Quantite])</f>
        <v>0</v>
      </c>
      <c r="H495">
        <f>Table4[[#This Row],[stock initial]]+Table4[[#This Row],[entrees]]-Table4[[#This Row],[sorties]]</f>
        <v>379</v>
      </c>
      <c r="I495">
        <f>Table4[[#This Row],[stock final]]*(VLOOKUP(Table4[[#This Row],[reference]],listeMarchandises[],7,FALSE))</f>
        <v>190119509.61000001</v>
      </c>
      <c r="J495" t="str">
        <f>IF(Table4[[#This Row],[valeur]]&lt;=Table4[[#This Row],[seuil d''alerte]],"stock faible","stock normal")</f>
        <v>stock normal</v>
      </c>
    </row>
    <row r="496" spans="1:10" x14ac:dyDescent="0.25">
      <c r="A496" t="s">
        <v>1001</v>
      </c>
      <c r="B496" t="str">
        <f>VLOOKUP(Table4[[#This Row],[reference]],listeMarchandises[],2,FALSE)</f>
        <v>Piano numerique 130</v>
      </c>
      <c r="C496" t="str">
        <f>VLOOKUP(Table4[[#This Row],[reference]],listeMarchandises[],3,FALSE)</f>
        <v>Instrument de musique</v>
      </c>
      <c r="D496">
        <f>VLOOKUP(Table4[[#This Row],[reference]],listeMarchandises[],4,FALSE)</f>
        <v>22</v>
      </c>
      <c r="E496">
        <f>VLOOKUP(Table4[[#This Row],[reference]],listeMarchandises[],6,FALSE)</f>
        <v>312</v>
      </c>
      <c r="F496">
        <f>SUMIF(listeEntrées[Reference],Table4[[#This Row],[reference]],listeEntrées[Quantite])</f>
        <v>3</v>
      </c>
      <c r="G496">
        <f>SUMIF(listeSorties[Reference],Table4[[#This Row],[reference]],listeSorties[Quantite])</f>
        <v>137</v>
      </c>
      <c r="H496">
        <f>Table4[[#This Row],[stock initial]]+Table4[[#This Row],[entrees]]-Table4[[#This Row],[sorties]]</f>
        <v>178</v>
      </c>
      <c r="I496">
        <f>Table4[[#This Row],[stock final]]*(VLOOKUP(Table4[[#This Row],[reference]],listeMarchandises[],7,FALSE))</f>
        <v>324608546.56</v>
      </c>
      <c r="J496" t="str">
        <f>IF(Table4[[#This Row],[valeur]]&lt;=Table4[[#This Row],[seuil d''alerte]],"stock faible","stock normal")</f>
        <v>stock normal</v>
      </c>
    </row>
    <row r="497" spans="1:10" x14ac:dyDescent="0.25">
      <c r="A497" t="s">
        <v>1003</v>
      </c>
      <c r="B497" t="str">
        <f>VLOOKUP(Table4[[#This Row],[reference]],listeMarchandises[],2,FALSE)</f>
        <v>Smartphone Ultra 126</v>
      </c>
      <c r="C497" t="str">
        <f>VLOOKUP(Table4[[#This Row],[reference]],listeMarchandises[],3,FALSE)</f>
        <v>Smartphone</v>
      </c>
      <c r="D497">
        <f>VLOOKUP(Table4[[#This Row],[reference]],listeMarchandises[],4,FALSE)</f>
        <v>21</v>
      </c>
      <c r="E497">
        <f>VLOOKUP(Table4[[#This Row],[reference]],listeMarchandises[],6,FALSE)</f>
        <v>344</v>
      </c>
      <c r="F497">
        <f>SUMIF(listeEntrées[Reference],Table4[[#This Row],[reference]],listeEntrées[Quantite])</f>
        <v>0</v>
      </c>
      <c r="G497">
        <f>SUMIF(listeSorties[Reference],Table4[[#This Row],[reference]],listeSorties[Quantite])</f>
        <v>38</v>
      </c>
      <c r="H497">
        <f>Table4[[#This Row],[stock initial]]+Table4[[#This Row],[entrees]]-Table4[[#This Row],[sorties]]</f>
        <v>306</v>
      </c>
      <c r="I497">
        <f>Table4[[#This Row],[stock final]]*(VLOOKUP(Table4[[#This Row],[reference]],listeMarchandises[],7,FALSE))</f>
        <v>126640499.04000001</v>
      </c>
      <c r="J497" t="str">
        <f>IF(Table4[[#This Row],[valeur]]&lt;=Table4[[#This Row],[seuil d''alerte]],"stock faible","stock normal")</f>
        <v>stock normal</v>
      </c>
    </row>
    <row r="498" spans="1:10" x14ac:dyDescent="0.25">
      <c r="A498" t="s">
        <v>1005</v>
      </c>
      <c r="B498" t="str">
        <f>VLOOKUP(Table4[[#This Row],[reference]],listeMarchandises[],2,FALSE)</f>
        <v>Mixeur 129</v>
      </c>
      <c r="C498" t="str">
        <f>VLOOKUP(Table4[[#This Row],[reference]],listeMarchandises[],3,FALSE)</f>
        <v>Electromenager</v>
      </c>
      <c r="D498">
        <f>VLOOKUP(Table4[[#This Row],[reference]],listeMarchandises[],4,FALSE)</f>
        <v>16</v>
      </c>
      <c r="E498">
        <f>VLOOKUP(Table4[[#This Row],[reference]],listeMarchandises[],6,FALSE)</f>
        <v>88</v>
      </c>
      <c r="F498">
        <f>SUMIF(listeEntrées[Reference],Table4[[#This Row],[reference]],listeEntrées[Quantite])</f>
        <v>95</v>
      </c>
      <c r="G498">
        <f>SUMIF(listeSorties[Reference],Table4[[#This Row],[reference]],listeSorties[Quantite])</f>
        <v>0</v>
      </c>
      <c r="H498">
        <f>Table4[[#This Row],[stock initial]]+Table4[[#This Row],[entrees]]-Table4[[#This Row],[sorties]]</f>
        <v>183</v>
      </c>
      <c r="I498">
        <f>Table4[[#This Row],[stock final]]*(VLOOKUP(Table4[[#This Row],[reference]],listeMarchandises[],7,FALSE))</f>
        <v>152513147.94</v>
      </c>
      <c r="J498" t="str">
        <f>IF(Table4[[#This Row],[valeur]]&lt;=Table4[[#This Row],[seuil d''alerte]],"stock faible","stock normal")</f>
        <v>stock normal</v>
      </c>
    </row>
    <row r="499" spans="1:10" x14ac:dyDescent="0.25">
      <c r="A499" t="s">
        <v>1007</v>
      </c>
      <c r="B499" t="str">
        <f>VLOOKUP(Table4[[#This Row],[reference]],listeMarchandises[],2,FALSE)</f>
        <v>Micro-ondes 130</v>
      </c>
      <c r="C499" t="str">
        <f>VLOOKUP(Table4[[#This Row],[reference]],listeMarchandises[],3,FALSE)</f>
        <v>Electromenager</v>
      </c>
      <c r="D499">
        <f>VLOOKUP(Table4[[#This Row],[reference]],listeMarchandises[],4,FALSE)</f>
        <v>20</v>
      </c>
      <c r="E499">
        <f>VLOOKUP(Table4[[#This Row],[reference]],listeMarchandises[],6,FALSE)</f>
        <v>115</v>
      </c>
      <c r="F499">
        <f>SUMIF(listeEntrées[Reference],Table4[[#This Row],[reference]],listeEntrées[Quantite])</f>
        <v>111</v>
      </c>
      <c r="G499">
        <f>SUMIF(listeSorties[Reference],Table4[[#This Row],[reference]],listeSorties[Quantite])</f>
        <v>0</v>
      </c>
      <c r="H499">
        <f>Table4[[#This Row],[stock initial]]+Table4[[#This Row],[entrees]]-Table4[[#This Row],[sorties]]</f>
        <v>226</v>
      </c>
      <c r="I499">
        <f>Table4[[#This Row],[stock final]]*(VLOOKUP(Table4[[#This Row],[reference]],listeMarchandises[],7,FALSE))</f>
        <v>43048355.700000003</v>
      </c>
      <c r="J499" t="str">
        <f>IF(Table4[[#This Row],[valeur]]&lt;=Table4[[#This Row],[seuil d''alerte]],"stock faible","stock normal")</f>
        <v>stock normal</v>
      </c>
    </row>
    <row r="500" spans="1:10" x14ac:dyDescent="0.25">
      <c r="A500" t="s">
        <v>1009</v>
      </c>
      <c r="B500" t="str">
        <f>VLOOKUP(Table4[[#This Row],[reference]],listeMarchandises[],2,FALSE)</f>
        <v>Smartphone Prime 127</v>
      </c>
      <c r="C500" t="str">
        <f>VLOOKUP(Table4[[#This Row],[reference]],listeMarchandises[],3,FALSE)</f>
        <v>Smartphone</v>
      </c>
      <c r="D500">
        <f>VLOOKUP(Table4[[#This Row],[reference]],listeMarchandises[],4,FALSE)</f>
        <v>5</v>
      </c>
      <c r="E500">
        <f>VLOOKUP(Table4[[#This Row],[reference]],listeMarchandises[],6,FALSE)</f>
        <v>46</v>
      </c>
      <c r="F500">
        <f>SUMIF(listeEntrées[Reference],Table4[[#This Row],[reference]],listeEntrées[Quantite])</f>
        <v>0</v>
      </c>
      <c r="G500">
        <f>SUMIF(listeSorties[Reference],Table4[[#This Row],[reference]],listeSorties[Quantite])</f>
        <v>99</v>
      </c>
      <c r="H500">
        <f>Table4[[#This Row],[stock initial]]+Table4[[#This Row],[entrees]]-Table4[[#This Row],[sorties]]</f>
        <v>-53</v>
      </c>
      <c r="I500">
        <f>Table4[[#This Row],[stock final]]*(VLOOKUP(Table4[[#This Row],[reference]],listeMarchandises[],7,FALSE))</f>
        <v>-67960554.859999999</v>
      </c>
      <c r="J500" t="str">
        <f>IF(Table4[[#This Row],[valeur]]&lt;=Table4[[#This Row],[seuil d''alerte]],"stock faible","stock normal")</f>
        <v>stock faible</v>
      </c>
    </row>
    <row r="501" spans="1:10" x14ac:dyDescent="0.25">
      <c r="A501" t="s">
        <v>1011</v>
      </c>
      <c r="B501" t="str">
        <f>VLOOKUP(Table4[[#This Row],[reference]],listeMarchandises[],2,FALSE)</f>
        <v>Groupe 8kVA 113</v>
      </c>
      <c r="C501" t="str">
        <f>VLOOKUP(Table4[[#This Row],[reference]],listeMarchandises[],3,FALSE)</f>
        <v>Groupe electrogene</v>
      </c>
      <c r="D501">
        <f>VLOOKUP(Table4[[#This Row],[reference]],listeMarchandises[],4,FALSE)</f>
        <v>23</v>
      </c>
      <c r="E501">
        <f>VLOOKUP(Table4[[#This Row],[reference]],listeMarchandises[],6,FALSE)</f>
        <v>299</v>
      </c>
      <c r="F501">
        <f>SUMIF(listeEntrées[Reference],Table4[[#This Row],[reference]],listeEntrées[Quantite])</f>
        <v>204</v>
      </c>
      <c r="G501">
        <f>SUMIF(listeSorties[Reference],Table4[[#This Row],[reference]],listeSorties[Quantite])</f>
        <v>7</v>
      </c>
      <c r="H501">
        <f>Table4[[#This Row],[stock initial]]+Table4[[#This Row],[entrees]]-Table4[[#This Row],[sorties]]</f>
        <v>496</v>
      </c>
      <c r="I501">
        <f>Table4[[#This Row],[stock final]]*(VLOOKUP(Table4[[#This Row],[reference]],listeMarchandises[],7,FALSE))</f>
        <v>942512720.96000004</v>
      </c>
      <c r="J501" t="str">
        <f>IF(Table4[[#This Row],[valeur]]&lt;=Table4[[#This Row],[seuil d''alerte]],"stock faible","stock normal")</f>
        <v>stock normal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Liste des marchandises</vt:lpstr>
      <vt:lpstr>Entrees</vt:lpstr>
      <vt:lpstr>Sorties</vt:lpstr>
      <vt:lpstr>Inventaire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Cathy SFaniry</cp:lastModifiedBy>
  <dcterms:created xsi:type="dcterms:W3CDTF">2026-03-25T14:22:02Z</dcterms:created>
  <dcterms:modified xsi:type="dcterms:W3CDTF">2026-06-03T11:57:10Z</dcterms:modified>
</cp:coreProperties>
</file>